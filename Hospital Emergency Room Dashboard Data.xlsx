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4779c3e414572f0/Desktop/New Excel docs/"/>
    </mc:Choice>
  </mc:AlternateContent>
  <xr:revisionPtr revIDLastSave="0" documentId="8_{316AA0BF-0D92-4F37-B07D-0E0E2E32AF68}" xr6:coauthVersionLast="47" xr6:coauthVersionMax="47" xr10:uidLastSave="{00000000-0000-0000-0000-000000000000}"/>
  <bookViews>
    <workbookView xWindow="-108" yWindow="-108" windowWidth="23256" windowHeight="12456" activeTab="2" xr2:uid="{E5D3E711-C38C-4D4B-962F-B2F183944C0D}"/>
  </bookViews>
  <sheets>
    <sheet name="Pivot Report" sheetId="1" r:id="rId1"/>
    <sheet name="Daily ER Patients" sheetId="3" r:id="rId2"/>
    <sheet name="Dashboard" sheetId="2" r:id="rId3"/>
    <sheet name="Waittime" sheetId="5" r:id="rId4"/>
    <sheet name="Patient Satisfaction Score"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3ceca07-2f5e-4de3-9d2a-2be648a37293" name="Hospital Emergency Room Data" connection="Query - Hospital Emergency Room Data"/>
          <x15:modelTable id="Calendar_Table_7be67f6a-8b2b-44a5-93cf-21e2e0cf7885"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50" i="1" l="1"/>
  <c r="C50" i="1"/>
  <c r="A50" i="1"/>
  <c r="B49" i="1"/>
  <c r="C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6759A2-F58E-4A43-ACCC-064779A16163}" name="Query - Calendar_Table" description="Connection to the 'Calendar_Table' query in the workbook." type="100" refreshedVersion="8" minRefreshableVersion="5">
    <extLst>
      <ext xmlns:x15="http://schemas.microsoft.com/office/spreadsheetml/2010/11/main" uri="{DE250136-89BD-433C-8126-D09CA5730AF9}">
        <x15:connection id="1b86d3c6-392c-446f-9031-6e6b0889d087"/>
      </ext>
    </extLst>
  </connection>
  <connection id="2" xr16:uid="{7C225B62-9235-4FFA-904C-B8359272AE4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4e0dbf4-e921-4013-89e0-3d597cced7fb"/>
      </ext>
    </extLst>
  </connection>
  <connection id="3" xr16:uid="{4742DD8D-F198-431E-9989-A50110183A4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<sst xmlns="http://schemas.openxmlformats.org/spreadsheetml/2006/main" count="146" uniqueCount="67">
  <si>
    <t>Count of Patient Id</t>
  </si>
  <si>
    <t>Average of Patient Satisfaction Score</t>
  </si>
  <si>
    <t>Average of Patient Waittime</t>
  </si>
  <si>
    <t>Grand Total</t>
  </si>
  <si>
    <t>Count of Patient Admission Date.1</t>
  </si>
  <si>
    <t>Row Labels</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</si>
  <si>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</si>
  <si>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</si>
  <si>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</si>
  <si>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</si>
  <si>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</si>
  <si>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</si>
  <si>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</si>
  <si>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</si>
  <si>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</si>
  <si>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</si>
  <si>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</si>
  <si>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</si>
  <si>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</si>
  <si>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</si>
  <si>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</si>
  <si>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</si>
  <si>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</si>
  <si>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</si>
  <si>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</si>
  <si>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</si>
  <si>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</si>
  <si>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</si>
  <si>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</si>
  <si>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</si>
  <si>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</si>
  <si>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</si>
  <si>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</si>
  <si>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</si>
  <si>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</si>
  <si>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</si>
  <si>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Distinct Count of Patient Id</t>
  </si>
  <si>
    <t>Count of Patient Admission Flag</t>
  </si>
  <si>
    <t>Admitted</t>
  </si>
  <si>
    <t>Not Admitted</t>
  </si>
  <si>
    <t>Count of Patient Admission Flag2</t>
  </si>
  <si>
    <t>Admission Status</t>
  </si>
  <si>
    <t>No. of patients</t>
  </si>
  <si>
    <t>% of Status</t>
  </si>
  <si>
    <t>0-9</t>
  </si>
  <si>
    <t>10-19</t>
  </si>
  <si>
    <t>20-29</t>
  </si>
  <si>
    <t>30-39</t>
  </si>
  <si>
    <t>40-49</t>
  </si>
  <si>
    <t>50-59</t>
  </si>
  <si>
    <t>60-69</t>
  </si>
  <si>
    <t>70-79</t>
  </si>
  <si>
    <t>Count of Age Group</t>
  </si>
  <si>
    <t>No. of Patient</t>
  </si>
  <si>
    <t>On Time</t>
  </si>
  <si>
    <t>Delay</t>
  </si>
  <si>
    <t>Female</t>
  </si>
  <si>
    <t>Male</t>
  </si>
  <si>
    <t>Cardiology</t>
  </si>
  <si>
    <t>Gastroenterology</t>
  </si>
  <si>
    <t>General Practice</t>
  </si>
  <si>
    <t>Neurology</t>
  </si>
  <si>
    <t>None</t>
  </si>
  <si>
    <t>Orthopedics</t>
  </si>
  <si>
    <t>Physiotherapy</t>
  </si>
  <si>
    <t>Renal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</si>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</sst>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4" fillId="0" borderId="0" xfId="0" applyFont="1"/>
    <xf numFmtId="0" fontId="0" fillId="5" borderId="0" xfId="0" applyFill="1"/>
    <xf numFmtId="0" fontId="2" fillId="4" borderId="0" xfId="0" applyFont="1" applyFill="1"/>
    <xf numFmtId="9" fontId="2" fillId="4" borderId="0" xfId="1" applyFont="1" applyFill="1"/>
    <xf numFmtId="0" fontId="2" fillId="5" borderId="0" xfId="0" applyFont="1" applyFill="1" applyAlignment="1">
      <alignment horizontal="left"/>
    </xf>
    <xf numFmtId="0" fontId="2" fillId="5" borderId="0" xfId="0" applyFont="1" applyFill="1"/>
    <xf numFmtId="0" fontId="0" fillId="6" borderId="0" xfId="0" applyFill="1"/>
    <xf numFmtId="0" fontId="3" fillId="0" borderId="0" xfId="0" applyFont="1"/>
  </cellXfs>
  <cellStyles count="2">
    <cellStyle name="Normal" xfId="0" builtinId="0"/>
    <cellStyle name="Percent" xfId="1" builtinId="5"/>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font>
        <sz val="22"/>
      </font>
      <fill>
        <patternFill patternType="solid">
          <bgColor theme="0" tint="-0.14996795556505021"/>
        </patternFill>
      </fill>
      <border diagonalUp="0" diagonalDown="0">
        <left/>
        <right/>
        <top/>
        <bottom/>
        <vertical/>
        <horizontal/>
      </border>
    </dxf>
  </dxfs>
  <tableStyles count="1" defaultTableStyle="TableStyleMedium2" defaultPivotStyle="PivotStyleLight16">
    <tableStyle name="my style" pivot="0" table="0" count="3" xr9:uid="{35FFD39D-FCE3-497D-BCBA-384AE7848159}">
      <tableStyleElement type="wholeTable" dxfId="19"/>
    </tableStyle>
  </tableStyles>
  <extLst>
    <ext xmlns:x14="http://schemas.microsoft.com/office/spreadsheetml/2009/9/main" uri="{46F421CA-312F-682f-3DD2-61675219B42D}">
      <x14:dxfs count="2">
        <dxf>
          <fill>
            <patternFill>
              <bgColor theme="2"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0018214936247723"/>
          <c:y val="0.20146520146520147"/>
          <c:w val="0.89071038251366119"/>
          <c:h val="0.59706959706959706"/>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cat>
            <c:strRef>
              <c:f>'Pivot Report'!$A$43:$A$45</c:f>
              <c:strCache>
                <c:ptCount val="2"/>
                <c:pt idx="0">
                  <c:v>Admitted</c:v>
                </c:pt>
                <c:pt idx="1">
                  <c:v>Not Admitted</c:v>
                </c:pt>
              </c:strCache>
            </c:strRef>
          </c:cat>
          <c:val>
            <c:numRef>
              <c:f>'Pivot Report'!$B$43:$B$45</c:f>
              <c:numCache>
                <c:formatCode>0.00</c:formatCode>
                <c:ptCount val="2"/>
                <c:pt idx="0">
                  <c:v>231</c:v>
                </c:pt>
                <c:pt idx="1">
                  <c:v>233</c:v>
                </c:pt>
              </c:numCache>
            </c:numRef>
          </c:val>
          <c:extLst>
            <c:ext xmlns:c16="http://schemas.microsoft.com/office/drawing/2014/chart" uri="{C3380CC4-5D6E-409C-BE32-E72D297353CC}">
              <c16:uniqueId val="{00000007-73CF-458F-9DEA-95D91718AF20}"/>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0.49784482758620691</c:v>
                </c:pt>
                <c:pt idx="1">
                  <c:v>0.50215517241379315</c:v>
                </c:pt>
              </c:numCache>
            </c:numRef>
          </c:val>
          <c:extLst>
            <c:ext xmlns:c16="http://schemas.microsoft.com/office/drawing/2014/chart" uri="{C3380CC4-5D6E-409C-BE32-E72D297353CC}">
              <c16:uniqueId val="{00000008-73CF-458F-9DEA-95D91718AF20}"/>
            </c:ext>
          </c:extLst>
        </c:ser>
        <c:dLbls>
          <c:showLegendKey val="0"/>
          <c:showVal val="0"/>
          <c:showCatName val="0"/>
          <c:showSerName val="0"/>
          <c:showPercent val="0"/>
          <c:showBubbleSize val="0"/>
        </c:dLbls>
        <c:gapWidth val="0"/>
        <c:axId val="444938064"/>
        <c:axId val="444938544"/>
      </c:barChart>
      <c:catAx>
        <c:axId val="444938064"/>
        <c:scaling>
          <c:orientation val="minMax"/>
        </c:scaling>
        <c:delete val="1"/>
        <c:axPos val="l"/>
        <c:numFmt formatCode="General" sourceLinked="1"/>
        <c:majorTickMark val="none"/>
        <c:minorTickMark val="none"/>
        <c:tickLblPos val="nextTo"/>
        <c:crossAx val="444938544"/>
        <c:crosses val="autoZero"/>
        <c:auto val="1"/>
        <c:lblAlgn val="ctr"/>
        <c:lblOffset val="100"/>
        <c:noMultiLvlLbl val="0"/>
      </c:catAx>
      <c:valAx>
        <c:axId val="444938544"/>
        <c:scaling>
          <c:orientation val="minMax"/>
        </c:scaling>
        <c:delete val="1"/>
        <c:axPos val="b"/>
        <c:numFmt formatCode="0.00" sourceLinked="1"/>
        <c:majorTickMark val="none"/>
        <c:minorTickMark val="none"/>
        <c:tickLblPos val="nextTo"/>
        <c:crossAx val="4449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8214936247723"/>
          <c:y val="0.20146520146520147"/>
          <c:w val="0.89071038251366119"/>
          <c:h val="0.59706959706959706"/>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cat>
            <c:strRef>
              <c:f>'Pivot Report'!$A$43:$A$45</c:f>
              <c:strCache>
                <c:ptCount val="2"/>
                <c:pt idx="0">
                  <c:v>Admitted</c:v>
                </c:pt>
                <c:pt idx="1">
                  <c:v>Not Admitted</c:v>
                </c:pt>
              </c:strCache>
            </c:strRef>
          </c:cat>
          <c:val>
            <c:numRef>
              <c:f>'Pivot Report'!$B$43:$B$45</c:f>
              <c:numCache>
                <c:formatCode>0.00</c:formatCode>
                <c:ptCount val="2"/>
                <c:pt idx="0">
                  <c:v>231</c:v>
                </c:pt>
                <c:pt idx="1">
                  <c:v>233</c:v>
                </c:pt>
              </c:numCache>
            </c:numRef>
          </c:val>
          <c:extLst>
            <c:ext xmlns:c16="http://schemas.microsoft.com/office/drawing/2014/chart" uri="{C3380CC4-5D6E-409C-BE32-E72D297353CC}">
              <c16:uniqueId val="{00000004-2518-4B31-B2DB-E0B79761A62B}"/>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0.49784482758620691</c:v>
                </c:pt>
                <c:pt idx="1">
                  <c:v>0.50215517241379315</c:v>
                </c:pt>
              </c:numCache>
            </c:numRef>
          </c:val>
          <c:extLst>
            <c:ext xmlns:c16="http://schemas.microsoft.com/office/drawing/2014/chart" uri="{C3380CC4-5D6E-409C-BE32-E72D297353CC}">
              <c16:uniqueId val="{00000005-2518-4B31-B2DB-E0B79761A62B}"/>
            </c:ext>
          </c:extLst>
        </c:ser>
        <c:dLbls>
          <c:showLegendKey val="0"/>
          <c:showVal val="0"/>
          <c:showCatName val="0"/>
          <c:showSerName val="0"/>
          <c:showPercent val="0"/>
          <c:showBubbleSize val="0"/>
        </c:dLbls>
        <c:gapWidth val="0"/>
        <c:axId val="444938064"/>
        <c:axId val="444938544"/>
      </c:barChart>
      <c:catAx>
        <c:axId val="444938064"/>
        <c:scaling>
          <c:orientation val="minMax"/>
        </c:scaling>
        <c:delete val="1"/>
        <c:axPos val="l"/>
        <c:numFmt formatCode="General" sourceLinked="1"/>
        <c:majorTickMark val="none"/>
        <c:minorTickMark val="none"/>
        <c:tickLblPos val="nextTo"/>
        <c:crossAx val="444938544"/>
        <c:crosses val="autoZero"/>
        <c:auto val="1"/>
        <c:lblAlgn val="ctr"/>
        <c:lblOffset val="100"/>
        <c:noMultiLvlLbl val="0"/>
      </c:catAx>
      <c:valAx>
        <c:axId val="444938544"/>
        <c:scaling>
          <c:orientation val="minMax"/>
        </c:scaling>
        <c:delete val="1"/>
        <c:axPos val="b"/>
        <c:numFmt formatCode="0.00" sourceLinked="1"/>
        <c:majorTickMark val="none"/>
        <c:minorTickMark val="none"/>
        <c:tickLblPos val="nextTo"/>
        <c:crossAx val="4449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ER Patients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5527950310559133E-2"/>
              <c:y val="-3.4722222222222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552795031055900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Report'!$B$7:$B$37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Report'!$C$7:$C$37</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4-D4F3-4EE5-B7B7-3ACF5C6C071F}"/>
            </c:ext>
          </c:extLst>
        </c:ser>
        <c:dLbls>
          <c:showLegendKey val="0"/>
          <c:showVal val="1"/>
          <c:showCatName val="0"/>
          <c:showSerName val="0"/>
          <c:showPercent val="0"/>
          <c:showBubbleSize val="0"/>
        </c:dLbls>
        <c:axId val="1530242240"/>
        <c:axId val="1530230720"/>
      </c:areaChart>
      <c:catAx>
        <c:axId val="15302422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230720"/>
        <c:crosses val="autoZero"/>
        <c:auto val="1"/>
        <c:lblAlgn val="ctr"/>
        <c:lblOffset val="100"/>
        <c:noMultiLvlLbl val="0"/>
      </c:catAx>
      <c:valAx>
        <c:axId val="153023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242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50479650572502E-2"/>
          <c:y val="0.11842105263157894"/>
          <c:w val="0.92429021141734913"/>
          <c:h val="0.73684210526315785"/>
        </c:manualLayout>
      </c:layout>
      <c:areaChart>
        <c:grouping val="standard"/>
        <c:varyColors val="0"/>
        <c:ser>
          <c:idx val="0"/>
          <c:order val="0"/>
          <c:tx>
            <c:strRef>
              <c:f>'Pivot Report'!$C$6</c:f>
              <c:strCache>
                <c:ptCount val="1"/>
                <c:pt idx="0">
                  <c:v>Total</c:v>
                </c:pt>
              </c:strCache>
            </c:strRef>
          </c:tx>
          <c:spPr>
            <a:solidFill>
              <a:schemeClr val="accent1"/>
            </a:solidFill>
            <a:ln w="25400">
              <a:noFill/>
            </a:ln>
            <a:effectLst/>
          </c:spPr>
          <c:cat>
            <c:strRef>
              <c:f>'Pivot Report'!$B$7:$B$37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Report'!$C$7:$C$37</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7CEC-4610-AC07-641665B18337}"/>
            </c:ext>
          </c:extLst>
        </c:ser>
        <c:dLbls>
          <c:showLegendKey val="0"/>
          <c:showVal val="0"/>
          <c:showCatName val="0"/>
          <c:showSerName val="0"/>
          <c:showPercent val="0"/>
          <c:showBubbleSize val="0"/>
        </c:dLbls>
        <c:axId val="1530242240"/>
        <c:axId val="1530230720"/>
      </c:areaChart>
      <c:catAx>
        <c:axId val="1530242240"/>
        <c:scaling>
          <c:orientation val="minMax"/>
        </c:scaling>
        <c:delete val="1"/>
        <c:axPos val="b"/>
        <c:numFmt formatCode="General" sourceLinked="1"/>
        <c:majorTickMark val="out"/>
        <c:minorTickMark val="none"/>
        <c:tickLblPos val="nextTo"/>
        <c:crossAx val="1530230720"/>
        <c:crosses val="autoZero"/>
        <c:auto val="1"/>
        <c:lblAlgn val="ctr"/>
        <c:lblOffset val="100"/>
        <c:noMultiLvlLbl val="0"/>
      </c:catAx>
      <c:valAx>
        <c:axId val="1530230720"/>
        <c:scaling>
          <c:orientation val="minMax"/>
        </c:scaling>
        <c:delete val="1"/>
        <c:axPos val="l"/>
        <c:numFmt formatCode="General" sourceLinked="1"/>
        <c:majorTickMark val="none"/>
        <c:minorTickMark val="none"/>
        <c:tickLblPos val="nextTo"/>
        <c:crossAx val="1530242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Report'!$H$6</c:f>
              <c:strCache>
                <c:ptCount val="1"/>
                <c:pt idx="0">
                  <c:v>Total</c:v>
                </c:pt>
              </c:strCache>
            </c:strRef>
          </c:tx>
          <c:spPr>
            <a:solidFill>
              <a:schemeClr val="accent1"/>
            </a:solidFill>
            <a:ln w="25400">
              <a:noFill/>
            </a:ln>
            <a:effectLst/>
          </c:spPr>
          <c:cat>
            <c:strRef>
              <c:f>'Pivot Report'!$G$7:$G$37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Report'!$H$7:$H$37</c:f>
              <c:numCache>
                <c:formatCode>General</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3-89B7-48DE-826C-299370E3F2B4}"/>
            </c:ext>
          </c:extLst>
        </c:ser>
        <c:dLbls>
          <c:showLegendKey val="0"/>
          <c:showVal val="0"/>
          <c:showCatName val="0"/>
          <c:showSerName val="0"/>
          <c:showPercent val="0"/>
          <c:showBubbleSize val="0"/>
        </c:dLbls>
        <c:axId val="1621731040"/>
        <c:axId val="1621731520"/>
      </c:areaChart>
      <c:catAx>
        <c:axId val="1621731040"/>
        <c:scaling>
          <c:orientation val="minMax"/>
        </c:scaling>
        <c:delete val="1"/>
        <c:axPos val="b"/>
        <c:numFmt formatCode="General" sourceLinked="1"/>
        <c:majorTickMark val="out"/>
        <c:minorTickMark val="none"/>
        <c:tickLblPos val="nextTo"/>
        <c:crossAx val="1621731520"/>
        <c:crosses val="autoZero"/>
        <c:auto val="1"/>
        <c:lblAlgn val="ctr"/>
        <c:lblOffset val="100"/>
        <c:noMultiLvlLbl val="0"/>
      </c:catAx>
      <c:valAx>
        <c:axId val="1621731520"/>
        <c:scaling>
          <c:orientation val="minMax"/>
        </c:scaling>
        <c:delete val="1"/>
        <c:axPos val="l"/>
        <c:numFmt formatCode="General" sourceLinked="1"/>
        <c:majorTickMark val="none"/>
        <c:minorTickMark val="none"/>
        <c:tickLblPos val="nextTo"/>
        <c:crossAx val="162173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Report'!$K$6</c:f>
              <c:strCache>
                <c:ptCount val="1"/>
                <c:pt idx="0">
                  <c:v>Total</c:v>
                </c:pt>
              </c:strCache>
            </c:strRef>
          </c:tx>
          <c:spPr>
            <a:solidFill>
              <a:schemeClr val="accent1"/>
            </a:solidFill>
            <a:ln w="25400">
              <a:noFill/>
            </a:ln>
            <a:effectLst/>
          </c:spPr>
          <c:cat>
            <c:strRef>
              <c:f>'Pivot Report'!$J$7:$J$37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Report'!$K$7:$K$37</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D33E-4E4E-9534-DDA0177D754B}"/>
            </c:ext>
          </c:extLst>
        </c:ser>
        <c:dLbls>
          <c:showLegendKey val="0"/>
          <c:showVal val="0"/>
          <c:showCatName val="0"/>
          <c:showSerName val="0"/>
          <c:showPercent val="0"/>
          <c:showBubbleSize val="0"/>
        </c:dLbls>
        <c:axId val="1621732960"/>
        <c:axId val="1621728640"/>
      </c:areaChart>
      <c:catAx>
        <c:axId val="1621732960"/>
        <c:scaling>
          <c:orientation val="minMax"/>
        </c:scaling>
        <c:delete val="1"/>
        <c:axPos val="b"/>
        <c:numFmt formatCode="General" sourceLinked="1"/>
        <c:majorTickMark val="out"/>
        <c:minorTickMark val="none"/>
        <c:tickLblPos val="nextTo"/>
        <c:crossAx val="1621728640"/>
        <c:crosses val="autoZero"/>
        <c:auto val="1"/>
        <c:lblAlgn val="ctr"/>
        <c:lblOffset val="100"/>
        <c:noMultiLvlLbl val="0"/>
      </c:catAx>
      <c:valAx>
        <c:axId val="1621728640"/>
        <c:scaling>
          <c:orientation val="minMax"/>
        </c:scaling>
        <c:delete val="1"/>
        <c:axPos val="l"/>
        <c:numFmt formatCode="0.00" sourceLinked="1"/>
        <c:majorTickMark val="none"/>
        <c:minorTickMark val="none"/>
        <c:tickLblPos val="nextTo"/>
        <c:crossAx val="162173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10-19</c:v>
                </c:pt>
                <c:pt idx="2">
                  <c:v>20-29</c:v>
                </c:pt>
                <c:pt idx="3">
                  <c:v>30-39</c:v>
                </c:pt>
                <c:pt idx="4">
                  <c:v>40-49</c:v>
                </c:pt>
                <c:pt idx="5">
                  <c:v>50-59</c:v>
                </c:pt>
                <c:pt idx="6">
                  <c:v>60-69</c:v>
                </c:pt>
                <c:pt idx="7">
                  <c:v>70-79</c:v>
                </c:pt>
              </c:strCache>
            </c:strRef>
          </c:cat>
          <c:val>
            <c:numRef>
              <c:f>'Pivot Report'!$B$55:$B$63</c:f>
              <c:numCache>
                <c:formatCode>0.00</c:formatCode>
                <c:ptCount val="8"/>
                <c:pt idx="0">
                  <c:v>56</c:v>
                </c:pt>
                <c:pt idx="1">
                  <c:v>72</c:v>
                </c:pt>
                <c:pt idx="2">
                  <c:v>49</c:v>
                </c:pt>
                <c:pt idx="3">
                  <c:v>61</c:v>
                </c:pt>
                <c:pt idx="4">
                  <c:v>56</c:v>
                </c:pt>
                <c:pt idx="5">
                  <c:v>61</c:v>
                </c:pt>
                <c:pt idx="6">
                  <c:v>62</c:v>
                </c:pt>
                <c:pt idx="7">
                  <c:v>47</c:v>
                </c:pt>
              </c:numCache>
            </c:numRef>
          </c:val>
          <c:extLst>
            <c:ext xmlns:c16="http://schemas.microsoft.com/office/drawing/2014/chart" uri="{C3380CC4-5D6E-409C-BE32-E72D297353CC}">
              <c16:uniqueId val="{00000003-4EA4-41A2-9CEB-5E41A6C288AC}"/>
            </c:ext>
          </c:extLst>
        </c:ser>
        <c:dLbls>
          <c:showLegendKey val="0"/>
          <c:showVal val="0"/>
          <c:showCatName val="0"/>
          <c:showSerName val="0"/>
          <c:showPercent val="0"/>
          <c:showBubbleSize val="0"/>
        </c:dLbls>
        <c:gapWidth val="219"/>
        <c:overlap val="-27"/>
        <c:axId val="1621703200"/>
        <c:axId val="1621703680"/>
      </c:barChart>
      <c:catAx>
        <c:axId val="16217032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1703680"/>
        <c:crosses val="autoZero"/>
        <c:auto val="1"/>
        <c:lblAlgn val="ctr"/>
        <c:lblOffset val="100"/>
        <c:noMultiLvlLbl val="0"/>
      </c:catAx>
      <c:valAx>
        <c:axId val="1621703680"/>
        <c:scaling>
          <c:orientation val="minMax"/>
        </c:scaling>
        <c:delete val="1"/>
        <c:axPos val="l"/>
        <c:numFmt formatCode="0.00" sourceLinked="1"/>
        <c:majorTickMark val="none"/>
        <c:minorTickMark val="none"/>
        <c:tickLblPos val="nextTo"/>
        <c:crossAx val="162170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Report!PivotTable10</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5150272325492"/>
          <c:y val="0.17275145139328621"/>
          <c:w val="0.59489381745811154"/>
          <c:h val="0.66453014833304558"/>
        </c:manualLayout>
      </c:layout>
      <c:pieChart>
        <c:varyColors val="1"/>
        <c:ser>
          <c:idx val="0"/>
          <c:order val="0"/>
          <c:tx>
            <c:strRef>
              <c:f>'Pivot Report'!$B$66</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C46-45BF-92FA-D7A020F930C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C46-45BF-92FA-D7A020F930CD}"/>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46-45BF-92FA-D7A020F930CD}"/>
                </c:ext>
              </c:extLst>
            </c:dLbl>
            <c:dLbl>
              <c:idx val="1"/>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46-45BF-92FA-D7A020F930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 Time</c:v>
                </c:pt>
              </c:strCache>
            </c:strRef>
          </c:cat>
          <c:val>
            <c:numRef>
              <c:f>'Pivot Report'!$B$67:$B$69</c:f>
              <c:numCache>
                <c:formatCode>0.00</c:formatCode>
                <c:ptCount val="2"/>
                <c:pt idx="0">
                  <c:v>267</c:v>
                </c:pt>
                <c:pt idx="1">
                  <c:v>197</c:v>
                </c:pt>
              </c:numCache>
            </c:numRef>
          </c:val>
          <c:extLst>
            <c:ext xmlns:c16="http://schemas.microsoft.com/office/drawing/2014/chart" uri="{C3380CC4-5D6E-409C-BE32-E72D297353CC}">
              <c16:uniqueId val="{00000007-201E-436E-88E6-557ED65D387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568935727506183"/>
          <c:y val="2.9054331900867973E-2"/>
          <c:w val="0.60508241903965743"/>
          <c:h val="9.90814656573704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Report!PivotTable11</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993946515105538"/>
          <c:y val="0.20410387892015083"/>
          <c:w val="0.50104805793642548"/>
          <c:h val="0.57928511532619409"/>
        </c:manualLayout>
      </c:layout>
      <c:pieChart>
        <c:varyColors val="1"/>
        <c:ser>
          <c:idx val="0"/>
          <c:order val="0"/>
          <c:tx>
            <c:strRef>
              <c:f>'Pivot Report'!$I$66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60B-4F79-AE92-C09A9C4EC7E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0B-4F79-AE92-C09A9C4EC7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Report'!$H$67:$H$69</c:f>
              <c:strCache>
                <c:ptCount val="2"/>
                <c:pt idx="0">
                  <c:v>Female</c:v>
                </c:pt>
                <c:pt idx="1">
                  <c:v>Male</c:v>
                </c:pt>
              </c:strCache>
            </c:strRef>
          </c:cat>
          <c:val>
            <c:numRef>
              <c:f>'Pivot Report'!$I$67:$I$69</c:f>
              <c:numCache>
                <c:formatCode>0.00</c:formatCode>
                <c:ptCount val="2"/>
                <c:pt idx="0">
                  <c:v>227</c:v>
                </c:pt>
                <c:pt idx="1">
                  <c:v>237</c:v>
                </c:pt>
              </c:numCache>
            </c:numRef>
          </c:val>
          <c:extLst>
            <c:ext xmlns:c16="http://schemas.microsoft.com/office/drawing/2014/chart" uri="{C3380CC4-5D6E-409C-BE32-E72D297353CC}">
              <c16:uniqueId val="{00000007-0B06-4789-B3D5-F3B93002601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542416268140486"/>
          <c:y val="4.9090939556584001E-2"/>
          <c:w val="0.30217874255377231"/>
          <c:h val="6.09873769191378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Report!PivotTable13</c:name>
    <c:fmtId val="3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Report'!$I$74</c:f>
              <c:strCache>
                <c:ptCount val="1"/>
                <c:pt idx="0">
                  <c:v>Total</c:v>
                </c:pt>
              </c:strCache>
            </c:strRef>
          </c:tx>
          <c:spPr>
            <a:solidFill>
              <a:schemeClr val="accent1"/>
            </a:solidFill>
            <a:ln>
              <a:noFill/>
            </a:ln>
            <a:effectLst/>
          </c:spPr>
          <c:invertIfNegative val="0"/>
          <c:cat>
            <c:strRef>
              <c:f>'Pivot Report'!$H$75:$H$83</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 Report'!$I$75:$I$83</c:f>
              <c:numCache>
                <c:formatCode>0.00</c:formatCode>
                <c:ptCount val="8"/>
                <c:pt idx="0">
                  <c:v>2</c:v>
                </c:pt>
                <c:pt idx="1">
                  <c:v>19</c:v>
                </c:pt>
                <c:pt idx="2">
                  <c:v>67</c:v>
                </c:pt>
                <c:pt idx="3">
                  <c:v>252</c:v>
                </c:pt>
                <c:pt idx="4">
                  <c:v>6</c:v>
                </c:pt>
                <c:pt idx="5">
                  <c:v>91</c:v>
                </c:pt>
                <c:pt idx="6">
                  <c:v>14</c:v>
                </c:pt>
                <c:pt idx="7">
                  <c:v>13</c:v>
                </c:pt>
              </c:numCache>
            </c:numRef>
          </c:val>
          <c:extLst>
            <c:ext xmlns:c16="http://schemas.microsoft.com/office/drawing/2014/chart" uri="{C3380CC4-5D6E-409C-BE32-E72D297353CC}">
              <c16:uniqueId val="{00000003-5945-4F0B-9821-45015BE2DD76}"/>
            </c:ext>
          </c:extLst>
        </c:ser>
        <c:dLbls>
          <c:showLegendKey val="0"/>
          <c:showVal val="0"/>
          <c:showCatName val="0"/>
          <c:showSerName val="0"/>
          <c:showPercent val="0"/>
          <c:showBubbleSize val="0"/>
        </c:dLbls>
        <c:gapWidth val="182"/>
        <c:axId val="1621713280"/>
        <c:axId val="1621714720"/>
      </c:barChart>
      <c:catAx>
        <c:axId val="162171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21714720"/>
        <c:crosses val="autoZero"/>
        <c:auto val="1"/>
        <c:lblAlgn val="ctr"/>
        <c:lblOffset val="100"/>
        <c:noMultiLvlLbl val="0"/>
      </c:catAx>
      <c:valAx>
        <c:axId val="16217147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17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Report!PivotTable6</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 Waittime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Report'!$J$7:$J$37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Report'!$K$7:$K$37</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2-40EA-4A9C-9CD0-3C50B9557C89}"/>
            </c:ext>
          </c:extLst>
        </c:ser>
        <c:dLbls>
          <c:showLegendKey val="0"/>
          <c:showVal val="0"/>
          <c:showCatName val="0"/>
          <c:showSerName val="0"/>
          <c:showPercent val="0"/>
          <c:showBubbleSize val="0"/>
        </c:dLbls>
        <c:axId val="1621732960"/>
        <c:axId val="1621728640"/>
      </c:areaChart>
      <c:catAx>
        <c:axId val="16217329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728640"/>
        <c:crosses val="autoZero"/>
        <c:auto val="1"/>
        <c:lblAlgn val="ctr"/>
        <c:lblOffset val="100"/>
        <c:noMultiLvlLbl val="0"/>
      </c:catAx>
      <c:valAx>
        <c:axId val="1621728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73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Data.xlsx]Pivot Report!PivotTable5</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 Satisfaction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Report'!$G$7:$G$37</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Report'!$H$7:$H$37</c:f>
              <c:numCache>
                <c:formatCode>General</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2-AE9E-4BD2-9E79-54244841659E}"/>
            </c:ext>
          </c:extLst>
        </c:ser>
        <c:dLbls>
          <c:showLegendKey val="0"/>
          <c:showVal val="1"/>
          <c:showCatName val="0"/>
          <c:showSerName val="0"/>
          <c:showPercent val="0"/>
          <c:showBubbleSize val="0"/>
        </c:dLbls>
        <c:axId val="1621731040"/>
        <c:axId val="1621731520"/>
      </c:areaChart>
      <c:catAx>
        <c:axId val="16217310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731520"/>
        <c:crosses val="autoZero"/>
        <c:auto val="1"/>
        <c:lblAlgn val="ctr"/>
        <c:lblOffset val="100"/>
        <c:noMultiLvlLbl val="0"/>
      </c:catAx>
      <c:valAx>
        <c:axId val="162173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73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image" Target="../media/image6.svg"/><Relationship Id="rId3" Type="http://schemas.openxmlformats.org/officeDocument/2006/relationships/chart" Target="../charts/chart4.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hyperlink" Target="#'Daily ER Patients'!A1"/><Relationship Id="rId16" Type="http://schemas.openxmlformats.org/officeDocument/2006/relationships/image" Target="../media/image9.png"/><Relationship Id="rId1" Type="http://schemas.openxmlformats.org/officeDocument/2006/relationships/image" Target="../media/image3.png"/><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chart" Target="../charts/chart9.xml"/><Relationship Id="rId4" Type="http://schemas.openxmlformats.org/officeDocument/2006/relationships/hyperlink" Target="#'Patient Satisfaction Score'!A1"/><Relationship Id="rId9" Type="http://schemas.openxmlformats.org/officeDocument/2006/relationships/chart" Target="../charts/chart8.xml"/><Relationship Id="rId1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1577340</xdr:colOff>
      <xdr:row>47</xdr:row>
      <xdr:rowOff>15240</xdr:rowOff>
    </xdr:from>
    <xdr:to>
      <xdr:col>5</xdr:col>
      <xdr:colOff>312420</xdr:colOff>
      <xdr:row>50</xdr:row>
      <xdr:rowOff>160020</xdr:rowOff>
    </xdr:to>
    <xdr:graphicFrame macro="">
      <xdr:nvGraphicFramePr>
        <xdr:cNvPr id="6" name="Chart 5">
          <a:extLst>
            <a:ext uri="{FF2B5EF4-FFF2-40B4-BE49-F238E27FC236}">
              <a16:creationId xmlns:a16="http://schemas.microsoft.com/office/drawing/2014/main" id="{1847503A-D340-DF52-3559-3227CFD04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xdr:colOff>
      <xdr:row>47</xdr:row>
      <xdr:rowOff>7620</xdr:rowOff>
    </xdr:from>
    <xdr:to>
      <xdr:col>13</xdr:col>
      <xdr:colOff>0</xdr:colOff>
      <xdr:row>50</xdr:row>
      <xdr:rowOff>152400</xdr:rowOff>
    </xdr:to>
    <xdr:graphicFrame macro="">
      <xdr:nvGraphicFramePr>
        <xdr:cNvPr id="8" name="Chart 7">
          <a:extLst>
            <a:ext uri="{FF2B5EF4-FFF2-40B4-BE49-F238E27FC236}">
              <a16:creationId xmlns:a16="http://schemas.microsoft.com/office/drawing/2014/main" id="{D40C2DD4-19F3-4810-8196-DAF81F8F4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1</xdr:row>
      <xdr:rowOff>45720</xdr:rowOff>
    </xdr:from>
    <xdr:to>
      <xdr:col>19</xdr:col>
      <xdr:colOff>501227</xdr:colOff>
      <xdr:row>22</xdr:row>
      <xdr:rowOff>30480</xdr:rowOff>
    </xdr:to>
    <xdr:graphicFrame macro="">
      <xdr:nvGraphicFramePr>
        <xdr:cNvPr id="2" name="Chart 1">
          <a:extLst>
            <a:ext uri="{FF2B5EF4-FFF2-40B4-BE49-F238E27FC236}">
              <a16:creationId xmlns:a16="http://schemas.microsoft.com/office/drawing/2014/main" id="{2F80F2B9-9D9D-421C-83FD-BF60BB513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0.03262</cdr:x>
      <cdr:y>0.02988</cdr:y>
    </cdr:from>
    <cdr:to>
      <cdr:x>0.07704</cdr:x>
      <cdr:y>0.15737</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5A57E64-9F6A-F7FF-9ED3-C1BA26FBD5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58140" y="114300"/>
          <a:ext cx="487680" cy="4876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53339</xdr:colOff>
      <xdr:row>0</xdr:row>
      <xdr:rowOff>121920</xdr:rowOff>
    </xdr:from>
    <xdr:to>
      <xdr:col>9</xdr:col>
      <xdr:colOff>499532</xdr:colOff>
      <xdr:row>6</xdr:row>
      <xdr:rowOff>60960</xdr:rowOff>
    </xdr:to>
    <xdr:sp macro="" textlink="">
      <xdr:nvSpPr>
        <xdr:cNvPr id="2" name="Rectangle: Rounded Corners 1">
          <a:extLst>
            <a:ext uri="{FF2B5EF4-FFF2-40B4-BE49-F238E27FC236}">
              <a16:creationId xmlns:a16="http://schemas.microsoft.com/office/drawing/2014/main" id="{0D91C668-69CB-71E9-4DF9-337DC24C7AD5}"/>
            </a:ext>
          </a:extLst>
        </xdr:cNvPr>
        <xdr:cNvSpPr/>
      </xdr:nvSpPr>
      <xdr:spPr>
        <a:xfrm>
          <a:off x="53339" y="121920"/>
          <a:ext cx="5932593" cy="105664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ln>
              <a:noFill/>
            </a:ln>
            <a:noFill/>
          </a:endParaRPr>
        </a:p>
      </xdr:txBody>
    </xdr:sp>
    <xdr:clientData/>
  </xdr:twoCellAnchor>
  <xdr:twoCellAnchor editAs="absolute">
    <xdr:from>
      <xdr:col>9</xdr:col>
      <xdr:colOff>571500</xdr:colOff>
      <xdr:row>0</xdr:row>
      <xdr:rowOff>137160</xdr:rowOff>
    </xdr:from>
    <xdr:to>
      <xdr:col>14</xdr:col>
      <xdr:colOff>584200</xdr:colOff>
      <xdr:row>6</xdr:row>
      <xdr:rowOff>53340</xdr:rowOff>
    </xdr:to>
    <xdr:sp macro="" textlink="">
      <xdr:nvSpPr>
        <xdr:cNvPr id="3" name="Rectangle: Rounded Corners 2">
          <a:extLst>
            <a:ext uri="{FF2B5EF4-FFF2-40B4-BE49-F238E27FC236}">
              <a16:creationId xmlns:a16="http://schemas.microsoft.com/office/drawing/2014/main" id="{FC295780-ED77-4DC4-B515-8F07BB1757C7}"/>
            </a:ext>
          </a:extLst>
        </xdr:cNvPr>
        <xdr:cNvSpPr/>
      </xdr:nvSpPr>
      <xdr:spPr>
        <a:xfrm>
          <a:off x="6057900" y="137160"/>
          <a:ext cx="3060700" cy="1033780"/>
        </a:xfrm>
        <a:prstGeom prst="roundRect">
          <a:avLst>
            <a:gd name="adj" fmla="val 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15</xdr:col>
      <xdr:colOff>381001</xdr:colOff>
      <xdr:row>0</xdr:row>
      <xdr:rowOff>143933</xdr:rowOff>
    </xdr:from>
    <xdr:to>
      <xdr:col>20</xdr:col>
      <xdr:colOff>143933</xdr:colOff>
      <xdr:row>14</xdr:row>
      <xdr:rowOff>76200</xdr:rowOff>
    </xdr:to>
    <xdr:sp macro="" textlink="">
      <xdr:nvSpPr>
        <xdr:cNvPr id="4" name="Rectangle: Rounded Corners 3">
          <a:extLst>
            <a:ext uri="{FF2B5EF4-FFF2-40B4-BE49-F238E27FC236}">
              <a16:creationId xmlns:a16="http://schemas.microsoft.com/office/drawing/2014/main" id="{116B1E52-14A6-4749-BBE2-EB621349FE93}"/>
            </a:ext>
          </a:extLst>
        </xdr:cNvPr>
        <xdr:cNvSpPr/>
      </xdr:nvSpPr>
      <xdr:spPr>
        <a:xfrm>
          <a:off x="9525001" y="143933"/>
          <a:ext cx="2810932" cy="2540000"/>
        </a:xfrm>
        <a:prstGeom prst="roundRect">
          <a:avLst>
            <a:gd name="adj" fmla="val 1667"/>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20</xdr:col>
      <xdr:colOff>296333</xdr:colOff>
      <xdr:row>0</xdr:row>
      <xdr:rowOff>143933</xdr:rowOff>
    </xdr:from>
    <xdr:to>
      <xdr:col>25</xdr:col>
      <xdr:colOff>220134</xdr:colOff>
      <xdr:row>14</xdr:row>
      <xdr:rowOff>50799</xdr:rowOff>
    </xdr:to>
    <xdr:sp macro="" textlink="">
      <xdr:nvSpPr>
        <xdr:cNvPr id="5" name="Rectangle: Rounded Corners 4">
          <a:extLst>
            <a:ext uri="{FF2B5EF4-FFF2-40B4-BE49-F238E27FC236}">
              <a16:creationId xmlns:a16="http://schemas.microsoft.com/office/drawing/2014/main" id="{0BD089F6-20D3-4D9A-9F1B-374D05D8CEF6}"/>
            </a:ext>
          </a:extLst>
        </xdr:cNvPr>
        <xdr:cNvSpPr/>
      </xdr:nvSpPr>
      <xdr:spPr>
        <a:xfrm>
          <a:off x="12488333" y="143933"/>
          <a:ext cx="2971801" cy="2514599"/>
        </a:xfrm>
        <a:prstGeom prst="roundRect">
          <a:avLst>
            <a:gd name="adj" fmla="val 1853"/>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64771</xdr:colOff>
      <xdr:row>6</xdr:row>
      <xdr:rowOff>177800</xdr:rowOff>
    </xdr:from>
    <xdr:to>
      <xdr:col>1</xdr:col>
      <xdr:colOff>491491</xdr:colOff>
      <xdr:row>30</xdr:row>
      <xdr:rowOff>76203</xdr:rowOff>
    </xdr:to>
    <xdr:sp macro="" textlink="">
      <xdr:nvSpPr>
        <xdr:cNvPr id="6" name="Rectangle: Rounded Corners 5">
          <a:extLst>
            <a:ext uri="{FF2B5EF4-FFF2-40B4-BE49-F238E27FC236}">
              <a16:creationId xmlns:a16="http://schemas.microsoft.com/office/drawing/2014/main" id="{2D851395-1A29-431A-80DC-EDAD35482FE1}"/>
            </a:ext>
          </a:extLst>
        </xdr:cNvPr>
        <xdr:cNvSpPr/>
      </xdr:nvSpPr>
      <xdr:spPr>
        <a:xfrm rot="5400000">
          <a:off x="-1601471" y="2961642"/>
          <a:ext cx="4368803" cy="103632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15</xdr:col>
      <xdr:colOff>364067</xdr:colOff>
      <xdr:row>15</xdr:row>
      <xdr:rowOff>50799</xdr:rowOff>
    </xdr:from>
    <xdr:to>
      <xdr:col>25</xdr:col>
      <xdr:colOff>313266</xdr:colOff>
      <xdr:row>31</xdr:row>
      <xdr:rowOff>76199</xdr:rowOff>
    </xdr:to>
    <xdr:sp macro="" textlink="">
      <xdr:nvSpPr>
        <xdr:cNvPr id="7" name="Rectangle: Rounded Corners 6">
          <a:extLst>
            <a:ext uri="{FF2B5EF4-FFF2-40B4-BE49-F238E27FC236}">
              <a16:creationId xmlns:a16="http://schemas.microsoft.com/office/drawing/2014/main" id="{CE515CFD-F604-46C8-A1C7-4C1FAFAC20E1}"/>
            </a:ext>
          </a:extLst>
        </xdr:cNvPr>
        <xdr:cNvSpPr/>
      </xdr:nvSpPr>
      <xdr:spPr>
        <a:xfrm>
          <a:off x="9508067" y="2844799"/>
          <a:ext cx="6045199" cy="3005667"/>
        </a:xfrm>
        <a:prstGeom prst="roundRect">
          <a:avLst>
            <a:gd name="adj" fmla="val 6184"/>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2</xdr:col>
      <xdr:colOff>25399</xdr:colOff>
      <xdr:row>6</xdr:row>
      <xdr:rowOff>177800</xdr:rowOff>
    </xdr:from>
    <xdr:to>
      <xdr:col>6</xdr:col>
      <xdr:colOff>59266</xdr:colOff>
      <xdr:row>13</xdr:row>
      <xdr:rowOff>42333</xdr:rowOff>
    </xdr:to>
    <xdr:sp macro="" textlink="">
      <xdr:nvSpPr>
        <xdr:cNvPr id="8" name="Rectangle: Rounded Corners 7">
          <a:extLst>
            <a:ext uri="{FF2B5EF4-FFF2-40B4-BE49-F238E27FC236}">
              <a16:creationId xmlns:a16="http://schemas.microsoft.com/office/drawing/2014/main" id="{64535A6A-797E-471E-8395-9E5CCBAA6F40}"/>
            </a:ext>
          </a:extLst>
        </xdr:cNvPr>
        <xdr:cNvSpPr/>
      </xdr:nvSpPr>
      <xdr:spPr>
        <a:xfrm>
          <a:off x="1244599" y="1295400"/>
          <a:ext cx="2472267" cy="1168400"/>
        </a:xfrm>
        <a:prstGeom prst="roundRect">
          <a:avLst>
            <a:gd name="adj" fmla="val 2899"/>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6</xdr:col>
      <xdr:colOff>245534</xdr:colOff>
      <xdr:row>7</xdr:row>
      <xdr:rowOff>8466</xdr:rowOff>
    </xdr:from>
    <xdr:to>
      <xdr:col>10</xdr:col>
      <xdr:colOff>270934</xdr:colOff>
      <xdr:row>13</xdr:row>
      <xdr:rowOff>59266</xdr:rowOff>
    </xdr:to>
    <xdr:sp macro="" textlink="">
      <xdr:nvSpPr>
        <xdr:cNvPr id="9" name="Rectangle: Rounded Corners 8">
          <a:extLst>
            <a:ext uri="{FF2B5EF4-FFF2-40B4-BE49-F238E27FC236}">
              <a16:creationId xmlns:a16="http://schemas.microsoft.com/office/drawing/2014/main" id="{D41FA38B-F380-4D6C-B030-17338FD4977E}"/>
            </a:ext>
          </a:extLst>
        </xdr:cNvPr>
        <xdr:cNvSpPr/>
      </xdr:nvSpPr>
      <xdr:spPr>
        <a:xfrm>
          <a:off x="3903134" y="1312333"/>
          <a:ext cx="2463800" cy="1168400"/>
        </a:xfrm>
        <a:prstGeom prst="roundRect">
          <a:avLst>
            <a:gd name="adj" fmla="val 145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10</xdr:col>
      <xdr:colOff>440265</xdr:colOff>
      <xdr:row>7</xdr:row>
      <xdr:rowOff>33866</xdr:rowOff>
    </xdr:from>
    <xdr:to>
      <xdr:col>15</xdr:col>
      <xdr:colOff>16932</xdr:colOff>
      <xdr:row>13</xdr:row>
      <xdr:rowOff>84666</xdr:rowOff>
    </xdr:to>
    <xdr:sp macro="" textlink="">
      <xdr:nvSpPr>
        <xdr:cNvPr id="10" name="Rectangle: Rounded Corners 9">
          <a:extLst>
            <a:ext uri="{FF2B5EF4-FFF2-40B4-BE49-F238E27FC236}">
              <a16:creationId xmlns:a16="http://schemas.microsoft.com/office/drawing/2014/main" id="{AB6EE076-AFDC-4106-8436-413583FE7945}"/>
            </a:ext>
          </a:extLst>
        </xdr:cNvPr>
        <xdr:cNvSpPr/>
      </xdr:nvSpPr>
      <xdr:spPr>
        <a:xfrm>
          <a:off x="6536265" y="1337733"/>
          <a:ext cx="2624667" cy="1168400"/>
        </a:xfrm>
        <a:prstGeom prst="roundRect">
          <a:avLst>
            <a:gd name="adj" fmla="val 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xdr:col>
      <xdr:colOff>609599</xdr:colOff>
      <xdr:row>14</xdr:row>
      <xdr:rowOff>25401</xdr:rowOff>
    </xdr:from>
    <xdr:to>
      <xdr:col>15</xdr:col>
      <xdr:colOff>93133</xdr:colOff>
      <xdr:row>18</xdr:row>
      <xdr:rowOff>59267</xdr:rowOff>
    </xdr:to>
    <xdr:sp macro="" textlink="">
      <xdr:nvSpPr>
        <xdr:cNvPr id="11" name="Rectangle: Rounded Corners 10">
          <a:extLst>
            <a:ext uri="{FF2B5EF4-FFF2-40B4-BE49-F238E27FC236}">
              <a16:creationId xmlns:a16="http://schemas.microsoft.com/office/drawing/2014/main" id="{1F7F9303-D25D-43B2-A75A-9CE2332508B9}"/>
            </a:ext>
          </a:extLst>
        </xdr:cNvPr>
        <xdr:cNvSpPr/>
      </xdr:nvSpPr>
      <xdr:spPr>
        <a:xfrm>
          <a:off x="1219199" y="2633134"/>
          <a:ext cx="8017934" cy="778933"/>
        </a:xfrm>
        <a:prstGeom prst="roundRect">
          <a:avLst>
            <a:gd name="adj" fmla="val 1588"/>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2</xdr:col>
      <xdr:colOff>0</xdr:colOff>
      <xdr:row>19</xdr:row>
      <xdr:rowOff>0</xdr:rowOff>
    </xdr:from>
    <xdr:to>
      <xdr:col>15</xdr:col>
      <xdr:colOff>169333</xdr:colOff>
      <xdr:row>30</xdr:row>
      <xdr:rowOff>84666</xdr:rowOff>
    </xdr:to>
    <xdr:sp macro="" textlink="">
      <xdr:nvSpPr>
        <xdr:cNvPr id="12" name="Rectangle: Rounded Corners 11">
          <a:extLst>
            <a:ext uri="{FF2B5EF4-FFF2-40B4-BE49-F238E27FC236}">
              <a16:creationId xmlns:a16="http://schemas.microsoft.com/office/drawing/2014/main" id="{8B2DE9F4-B578-42B0-ABFE-5352E4A3DE8B}"/>
            </a:ext>
          </a:extLst>
        </xdr:cNvPr>
        <xdr:cNvSpPr/>
      </xdr:nvSpPr>
      <xdr:spPr>
        <a:xfrm>
          <a:off x="1219200" y="3539067"/>
          <a:ext cx="8094133" cy="2133599"/>
        </a:xfrm>
        <a:prstGeom prst="roundRect">
          <a:avLst>
            <a:gd name="adj" fmla="val 333"/>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2</xdr:col>
      <xdr:colOff>0</xdr:colOff>
      <xdr:row>1</xdr:row>
      <xdr:rowOff>33867</xdr:rowOff>
    </xdr:from>
    <xdr:to>
      <xdr:col>9</xdr:col>
      <xdr:colOff>414867</xdr:colOff>
      <xdr:row>2</xdr:row>
      <xdr:rowOff>177801</xdr:rowOff>
    </xdr:to>
    <xdr:sp macro="" textlink="">
      <xdr:nvSpPr>
        <xdr:cNvPr id="13" name="TextBox 12">
          <a:extLst>
            <a:ext uri="{FF2B5EF4-FFF2-40B4-BE49-F238E27FC236}">
              <a16:creationId xmlns:a16="http://schemas.microsoft.com/office/drawing/2014/main" id="{42178F69-A3AA-8E29-BCA7-FD581A6A4190}"/>
            </a:ext>
          </a:extLst>
        </xdr:cNvPr>
        <xdr:cNvSpPr txBox="1"/>
      </xdr:nvSpPr>
      <xdr:spPr>
        <a:xfrm>
          <a:off x="1219200" y="220134"/>
          <a:ext cx="4682067" cy="3302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ln>
                <a:noFill/>
              </a:ln>
            </a:rPr>
            <a:t>HOSPITAL</a:t>
          </a:r>
          <a:r>
            <a:rPr lang="en-IN" sz="2000" b="1" baseline="0">
              <a:ln>
                <a:noFill/>
              </a:ln>
            </a:rPr>
            <a:t> EMERGENCY ROOM DASHBOARD</a:t>
          </a:r>
          <a:endParaRPr lang="en-IN" sz="2000" b="1">
            <a:ln>
              <a:noFill/>
            </a:ln>
          </a:endParaRPr>
        </a:p>
      </xdr:txBody>
    </xdr:sp>
    <xdr:clientData/>
  </xdr:twoCellAnchor>
  <xdr:twoCellAnchor>
    <xdr:from>
      <xdr:col>4</xdr:col>
      <xdr:colOff>160868</xdr:colOff>
      <xdr:row>3</xdr:row>
      <xdr:rowOff>76200</xdr:rowOff>
    </xdr:from>
    <xdr:to>
      <xdr:col>7</xdr:col>
      <xdr:colOff>355600</xdr:colOff>
      <xdr:row>5</xdr:row>
      <xdr:rowOff>8467</xdr:rowOff>
    </xdr:to>
    <xdr:sp macro="" textlink="">
      <xdr:nvSpPr>
        <xdr:cNvPr id="16" name="TextBox 15">
          <a:extLst>
            <a:ext uri="{FF2B5EF4-FFF2-40B4-BE49-F238E27FC236}">
              <a16:creationId xmlns:a16="http://schemas.microsoft.com/office/drawing/2014/main" id="{4453455A-4EDD-5CCD-B806-C23C931EB741}"/>
            </a:ext>
          </a:extLst>
        </xdr:cNvPr>
        <xdr:cNvSpPr txBox="1"/>
      </xdr:nvSpPr>
      <xdr:spPr>
        <a:xfrm>
          <a:off x="2599268" y="635000"/>
          <a:ext cx="20235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MONTHLY</a:t>
          </a:r>
          <a:r>
            <a:rPr lang="en-IN" sz="1800" b="1" baseline="0"/>
            <a:t> REPORT</a:t>
          </a:r>
          <a:endParaRPr lang="en-IN" sz="1800" b="1"/>
        </a:p>
      </xdr:txBody>
    </xdr:sp>
    <xdr:clientData/>
  </xdr:twoCellAnchor>
  <xdr:twoCellAnchor editAs="oneCell">
    <xdr:from>
      <xdr:col>0</xdr:col>
      <xdr:colOff>68291</xdr:colOff>
      <xdr:row>0</xdr:row>
      <xdr:rowOff>177801</xdr:rowOff>
    </xdr:from>
    <xdr:to>
      <xdr:col>2</xdr:col>
      <xdr:colOff>1769</xdr:colOff>
      <xdr:row>6</xdr:row>
      <xdr:rowOff>50801</xdr:rowOff>
    </xdr:to>
    <xdr:pic>
      <xdr:nvPicPr>
        <xdr:cNvPr id="20" name="Picture 19">
          <a:extLst>
            <a:ext uri="{FF2B5EF4-FFF2-40B4-BE49-F238E27FC236}">
              <a16:creationId xmlns:a16="http://schemas.microsoft.com/office/drawing/2014/main" id="{9130CC91-8983-5D7A-3A21-A54E06A019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590" t="3431" r="19355" b="-3431"/>
        <a:stretch>
          <a:fillRect/>
        </a:stretch>
      </xdr:blipFill>
      <xdr:spPr>
        <a:xfrm>
          <a:off x="68291" y="177801"/>
          <a:ext cx="1152678" cy="990600"/>
        </a:xfrm>
        <a:prstGeom prst="rect">
          <a:avLst/>
        </a:prstGeom>
        <a:solidFill>
          <a:schemeClr val="bg2">
            <a:lumMod val="90000"/>
          </a:schemeClr>
        </a:solidFill>
      </xdr:spPr>
    </xdr:pic>
    <xdr:clientData/>
  </xdr:twoCellAnchor>
  <xdr:twoCellAnchor>
    <xdr:from>
      <xdr:col>2</xdr:col>
      <xdr:colOff>253998</xdr:colOff>
      <xdr:row>8</xdr:row>
      <xdr:rowOff>126996</xdr:rowOff>
    </xdr:from>
    <xdr:to>
      <xdr:col>5</xdr:col>
      <xdr:colOff>448730</xdr:colOff>
      <xdr:row>10</xdr:row>
      <xdr:rowOff>59262</xdr:rowOff>
    </xdr:to>
    <xdr:sp macro="" textlink="">
      <xdr:nvSpPr>
        <xdr:cNvPr id="14" name="TextBox 13">
          <a:extLst>
            <a:ext uri="{FF2B5EF4-FFF2-40B4-BE49-F238E27FC236}">
              <a16:creationId xmlns:a16="http://schemas.microsoft.com/office/drawing/2014/main" id="{C5FBBD6D-2D91-465D-946F-59B533CC9D8E}"/>
            </a:ext>
          </a:extLst>
        </xdr:cNvPr>
        <xdr:cNvSpPr txBox="1"/>
      </xdr:nvSpPr>
      <xdr:spPr>
        <a:xfrm>
          <a:off x="1473198" y="1617129"/>
          <a:ext cx="20235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No. of Patients</a:t>
          </a:r>
        </a:p>
      </xdr:txBody>
    </xdr:sp>
    <xdr:clientData/>
  </xdr:twoCellAnchor>
  <xdr:twoCellAnchor>
    <xdr:from>
      <xdr:col>2</xdr:col>
      <xdr:colOff>211662</xdr:colOff>
      <xdr:row>6</xdr:row>
      <xdr:rowOff>186265</xdr:rowOff>
    </xdr:from>
    <xdr:to>
      <xdr:col>5</xdr:col>
      <xdr:colOff>406394</xdr:colOff>
      <xdr:row>8</xdr:row>
      <xdr:rowOff>118532</xdr:rowOff>
    </xdr:to>
    <xdr:sp macro="" textlink="'Pivot Report'!A9">
      <xdr:nvSpPr>
        <xdr:cNvPr id="15" name="TextBox 14">
          <a:extLst>
            <a:ext uri="{FF2B5EF4-FFF2-40B4-BE49-F238E27FC236}">
              <a16:creationId xmlns:a16="http://schemas.microsoft.com/office/drawing/2014/main" id="{6672DD30-039F-41CF-B75A-62E78D372BFE}"/>
            </a:ext>
          </a:extLst>
        </xdr:cNvPr>
        <xdr:cNvSpPr txBox="1"/>
      </xdr:nvSpPr>
      <xdr:spPr>
        <a:xfrm>
          <a:off x="1430862" y="1303865"/>
          <a:ext cx="20235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D0EA44C-9F26-4799-8F77-BCE8240A22D0}" type="TxLink">
            <a:rPr lang="en-US" sz="2400" b="1" i="0" u="none" strike="noStrike">
              <a:solidFill>
                <a:srgbClr val="000000"/>
              </a:solidFill>
              <a:latin typeface="Calibri"/>
              <a:ea typeface="Calibri"/>
              <a:cs typeface="Calibri"/>
            </a:rPr>
            <a:pPr algn="ctr"/>
            <a:t>464</a:t>
          </a:fld>
          <a:endParaRPr lang="en-IN" sz="4000" b="1"/>
        </a:p>
      </xdr:txBody>
    </xdr:sp>
    <xdr:clientData/>
  </xdr:twoCellAnchor>
  <xdr:twoCellAnchor>
    <xdr:from>
      <xdr:col>6</xdr:col>
      <xdr:colOff>338664</xdr:colOff>
      <xdr:row>7</xdr:row>
      <xdr:rowOff>25400</xdr:rowOff>
    </xdr:from>
    <xdr:to>
      <xdr:col>9</xdr:col>
      <xdr:colOff>533396</xdr:colOff>
      <xdr:row>8</xdr:row>
      <xdr:rowOff>143934</xdr:rowOff>
    </xdr:to>
    <xdr:sp macro="" textlink="'Pivot Report'!A5">
      <xdr:nvSpPr>
        <xdr:cNvPr id="17" name="TextBox 16">
          <a:extLst>
            <a:ext uri="{FF2B5EF4-FFF2-40B4-BE49-F238E27FC236}">
              <a16:creationId xmlns:a16="http://schemas.microsoft.com/office/drawing/2014/main" id="{B1034B6D-9AE2-4712-B9D0-4EA5CEBC0601}"/>
            </a:ext>
          </a:extLst>
        </xdr:cNvPr>
        <xdr:cNvSpPr txBox="1"/>
      </xdr:nvSpPr>
      <xdr:spPr>
        <a:xfrm>
          <a:off x="3996264" y="1329267"/>
          <a:ext cx="20235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349996D-6853-4EC3-BEF1-24417D9A43FC}" type="TxLink">
            <a:rPr lang="en-US" sz="2400" b="1" i="0" u="none" strike="noStrike">
              <a:solidFill>
                <a:srgbClr val="000000"/>
              </a:solidFill>
              <a:latin typeface="Calibri"/>
              <a:ea typeface="Calibri"/>
              <a:cs typeface="Calibri"/>
            </a:rPr>
            <a:pPr algn="ctr"/>
            <a:t>5.09</a:t>
          </a:fld>
          <a:endParaRPr lang="en-IN" sz="4000" b="1"/>
        </a:p>
      </xdr:txBody>
    </xdr:sp>
    <xdr:clientData/>
  </xdr:twoCellAnchor>
  <xdr:twoCellAnchor>
    <xdr:from>
      <xdr:col>6</xdr:col>
      <xdr:colOff>245534</xdr:colOff>
      <xdr:row>8</xdr:row>
      <xdr:rowOff>177800</xdr:rowOff>
    </xdr:from>
    <xdr:to>
      <xdr:col>10</xdr:col>
      <xdr:colOff>262466</xdr:colOff>
      <xdr:row>10</xdr:row>
      <xdr:rowOff>110066</xdr:rowOff>
    </xdr:to>
    <xdr:sp macro="" textlink="">
      <xdr:nvSpPr>
        <xdr:cNvPr id="18" name="TextBox 17">
          <a:extLst>
            <a:ext uri="{FF2B5EF4-FFF2-40B4-BE49-F238E27FC236}">
              <a16:creationId xmlns:a16="http://schemas.microsoft.com/office/drawing/2014/main" id="{8C1290CC-EA5F-46B7-8D62-613CDF14D3FD}"/>
            </a:ext>
          </a:extLst>
        </xdr:cNvPr>
        <xdr:cNvSpPr txBox="1"/>
      </xdr:nvSpPr>
      <xdr:spPr>
        <a:xfrm>
          <a:off x="3903134" y="1667933"/>
          <a:ext cx="24553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Patient Satisfaction Score</a:t>
          </a:r>
        </a:p>
      </xdr:txBody>
    </xdr:sp>
    <xdr:clientData/>
  </xdr:twoCellAnchor>
  <xdr:twoCellAnchor>
    <xdr:from>
      <xdr:col>11</xdr:col>
      <xdr:colOff>245533</xdr:colOff>
      <xdr:row>7</xdr:row>
      <xdr:rowOff>42329</xdr:rowOff>
    </xdr:from>
    <xdr:to>
      <xdr:col>13</xdr:col>
      <xdr:colOff>355599</xdr:colOff>
      <xdr:row>8</xdr:row>
      <xdr:rowOff>160863</xdr:rowOff>
    </xdr:to>
    <xdr:sp macro="" textlink="'Pivot Report'!A13">
      <xdr:nvSpPr>
        <xdr:cNvPr id="19" name="TextBox 18">
          <a:extLst>
            <a:ext uri="{FF2B5EF4-FFF2-40B4-BE49-F238E27FC236}">
              <a16:creationId xmlns:a16="http://schemas.microsoft.com/office/drawing/2014/main" id="{C5FA9D91-BCC8-4FFB-9019-A9FAD2B719E2}"/>
            </a:ext>
          </a:extLst>
        </xdr:cNvPr>
        <xdr:cNvSpPr txBox="1"/>
      </xdr:nvSpPr>
      <xdr:spPr>
        <a:xfrm>
          <a:off x="6951133" y="1346196"/>
          <a:ext cx="1329266"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548099-31A1-4BC0-BD15-974E94F7EE6D}" type="TxLink">
            <a:rPr lang="en-US" sz="2400" b="1" i="0" u="none" strike="noStrike">
              <a:solidFill>
                <a:srgbClr val="000000"/>
              </a:solidFill>
              <a:latin typeface="Calibri"/>
              <a:ea typeface="Calibri"/>
              <a:cs typeface="Calibri"/>
            </a:rPr>
            <a:pPr algn="ctr"/>
            <a:t>35.19</a:t>
          </a:fld>
          <a:endParaRPr lang="en-IN" sz="4000" b="1"/>
        </a:p>
      </xdr:txBody>
    </xdr:sp>
    <xdr:clientData/>
  </xdr:twoCellAnchor>
  <xdr:twoCellAnchor>
    <xdr:from>
      <xdr:col>11</xdr:col>
      <xdr:colOff>67733</xdr:colOff>
      <xdr:row>8</xdr:row>
      <xdr:rowOff>177796</xdr:rowOff>
    </xdr:from>
    <xdr:to>
      <xdr:col>14</xdr:col>
      <xdr:colOff>262465</xdr:colOff>
      <xdr:row>10</xdr:row>
      <xdr:rowOff>110062</xdr:rowOff>
    </xdr:to>
    <xdr:sp macro="" textlink="">
      <xdr:nvSpPr>
        <xdr:cNvPr id="21" name="TextBox 20">
          <a:extLst>
            <a:ext uri="{FF2B5EF4-FFF2-40B4-BE49-F238E27FC236}">
              <a16:creationId xmlns:a16="http://schemas.microsoft.com/office/drawing/2014/main" id="{B15D1130-C4C7-4A5C-8B08-97E5845991B6}"/>
            </a:ext>
          </a:extLst>
        </xdr:cNvPr>
        <xdr:cNvSpPr txBox="1"/>
      </xdr:nvSpPr>
      <xdr:spPr>
        <a:xfrm>
          <a:off x="6773333" y="1667929"/>
          <a:ext cx="2023532" cy="3048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t>Patient Waittime</a:t>
          </a:r>
        </a:p>
      </xdr:txBody>
    </xdr:sp>
    <xdr:clientData/>
  </xdr:twoCellAnchor>
  <xdr:twoCellAnchor editAs="absolute">
    <xdr:from>
      <xdr:col>0</xdr:col>
      <xdr:colOff>42333</xdr:colOff>
      <xdr:row>6</xdr:row>
      <xdr:rowOff>177800</xdr:rowOff>
    </xdr:from>
    <xdr:to>
      <xdr:col>1</xdr:col>
      <xdr:colOff>541866</xdr:colOff>
      <xdr:row>30</xdr:row>
      <xdr:rowOff>93133</xdr:rowOff>
    </xdr:to>
    <mc:AlternateContent xmlns:mc="http://schemas.openxmlformats.org/markup-compatibility/2006" xmlns:a14="http://schemas.microsoft.com/office/drawing/2010/main">
      <mc:Choice Requires="a14">
        <xdr:graphicFrame macro="">
          <xdr:nvGraphicFramePr>
            <xdr:cNvPr id="28" name="Date (Month)">
              <a:extLst>
                <a:ext uri="{FF2B5EF4-FFF2-40B4-BE49-F238E27FC236}">
                  <a16:creationId xmlns:a16="http://schemas.microsoft.com/office/drawing/2014/main" id="{8919C123-2725-47F8-B21E-AB81E3654F7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2333" y="1295400"/>
              <a:ext cx="1109133" cy="4385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499532</xdr:colOff>
      <xdr:row>8</xdr:row>
      <xdr:rowOff>143933</xdr:rowOff>
    </xdr:from>
    <xdr:to>
      <xdr:col>6</xdr:col>
      <xdr:colOff>135465</xdr:colOff>
      <xdr:row>13</xdr:row>
      <xdr:rowOff>177799</xdr:rowOff>
    </xdr:to>
    <xdr:graphicFrame macro="">
      <xdr:nvGraphicFramePr>
        <xdr:cNvPr id="24" name="Chart 23">
          <a:hlinkClick xmlns:r="http://schemas.openxmlformats.org/officeDocument/2006/relationships" r:id="rId2"/>
          <a:extLst>
            <a:ext uri="{FF2B5EF4-FFF2-40B4-BE49-F238E27FC236}">
              <a16:creationId xmlns:a16="http://schemas.microsoft.com/office/drawing/2014/main" id="{79882B97-BE25-40BD-9D2B-DD42144C9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296333</xdr:colOff>
      <xdr:row>8</xdr:row>
      <xdr:rowOff>84668</xdr:rowOff>
    </xdr:from>
    <xdr:to>
      <xdr:col>15</xdr:col>
      <xdr:colOff>152400</xdr:colOff>
      <xdr:row>14</xdr:row>
      <xdr:rowOff>42334</xdr:rowOff>
    </xdr:to>
    <xdr:graphicFrame macro="">
      <xdr:nvGraphicFramePr>
        <xdr:cNvPr id="26" name="Chart 25">
          <a:hlinkClick xmlns:r="http://schemas.openxmlformats.org/officeDocument/2006/relationships" r:id="rId4"/>
          <a:extLst>
            <a:ext uri="{FF2B5EF4-FFF2-40B4-BE49-F238E27FC236}">
              <a16:creationId xmlns:a16="http://schemas.microsoft.com/office/drawing/2014/main" id="{BAE70ED5-75C1-4008-8B17-A069DC8C8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93135</xdr:colOff>
      <xdr:row>10</xdr:row>
      <xdr:rowOff>0</xdr:rowOff>
    </xdr:from>
    <xdr:to>
      <xdr:col>10</xdr:col>
      <xdr:colOff>423333</xdr:colOff>
      <xdr:row>14</xdr:row>
      <xdr:rowOff>25400</xdr:rowOff>
    </xdr:to>
    <xdr:graphicFrame macro="">
      <xdr:nvGraphicFramePr>
        <xdr:cNvPr id="29" name="Chart 28">
          <a:hlinkClick xmlns:r="http://schemas.openxmlformats.org/officeDocument/2006/relationships" r:id="rId4"/>
          <a:extLst>
            <a:ext uri="{FF2B5EF4-FFF2-40B4-BE49-F238E27FC236}">
              <a16:creationId xmlns:a16="http://schemas.microsoft.com/office/drawing/2014/main" id="{76C8D276-ABB2-41EE-A289-02BE3A9E0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609599</xdr:colOff>
      <xdr:row>19</xdr:row>
      <xdr:rowOff>1</xdr:rowOff>
    </xdr:from>
    <xdr:to>
      <xdr:col>15</xdr:col>
      <xdr:colOff>194733</xdr:colOff>
      <xdr:row>29</xdr:row>
      <xdr:rowOff>42335</xdr:rowOff>
    </xdr:to>
    <xdr:graphicFrame macro="">
      <xdr:nvGraphicFramePr>
        <xdr:cNvPr id="33" name="Chart 32">
          <a:extLst>
            <a:ext uri="{FF2B5EF4-FFF2-40B4-BE49-F238E27FC236}">
              <a16:creationId xmlns:a16="http://schemas.microsoft.com/office/drawing/2014/main" id="{0D3C26D4-3D79-493C-B020-E0E94A5F1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absolute">
        <xdr:from>
          <xdr:col>1</xdr:col>
          <xdr:colOff>575734</xdr:colOff>
          <xdr:row>14</xdr:row>
          <xdr:rowOff>8467</xdr:rowOff>
        </xdr:from>
        <xdr:to>
          <xdr:col>15</xdr:col>
          <xdr:colOff>110067</xdr:colOff>
          <xdr:row>18</xdr:row>
          <xdr:rowOff>59267</xdr:rowOff>
        </xdr:to>
        <xdr:pic>
          <xdr:nvPicPr>
            <xdr:cNvPr id="34" name="Picture 33">
              <a:extLst>
                <a:ext uri="{FF2B5EF4-FFF2-40B4-BE49-F238E27FC236}">
                  <a16:creationId xmlns:a16="http://schemas.microsoft.com/office/drawing/2014/main" id="{C581C52A-3E2B-1E2B-5C67-8D46FCD9C19E}"/>
                </a:ext>
              </a:extLst>
            </xdr:cNvPr>
            <xdr:cNvPicPr>
              <a:picLocks noChangeAspect="1" noChangeArrowheads="1"/>
              <a:extLst>
                <a:ext uri="{84589F7E-364E-4C9E-8A38-B11213B215E9}">
                  <a14:cameraTool cellRange="'Pivot Report'!$A$48:$E$50" spid="_x0000_s1032"/>
                </a:ext>
              </a:extLst>
            </xdr:cNvPicPr>
          </xdr:nvPicPr>
          <xdr:blipFill>
            <a:blip xmlns:r="http://schemas.openxmlformats.org/officeDocument/2006/relationships" r:embed="rId8"/>
            <a:srcRect/>
            <a:stretch>
              <a:fillRect/>
            </a:stretch>
          </xdr:blipFill>
          <xdr:spPr bwMode="auto">
            <a:xfrm>
              <a:off x="1185334" y="2616200"/>
              <a:ext cx="8068733" cy="7958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381001</xdr:colOff>
      <xdr:row>0</xdr:row>
      <xdr:rowOff>160867</xdr:rowOff>
    </xdr:from>
    <xdr:to>
      <xdr:col>20</xdr:col>
      <xdr:colOff>160867</xdr:colOff>
      <xdr:row>14</xdr:row>
      <xdr:rowOff>84667</xdr:rowOff>
    </xdr:to>
    <xdr:graphicFrame macro="">
      <xdr:nvGraphicFramePr>
        <xdr:cNvPr id="36" name="Chart 35">
          <a:extLst>
            <a:ext uri="{FF2B5EF4-FFF2-40B4-BE49-F238E27FC236}">
              <a16:creationId xmlns:a16="http://schemas.microsoft.com/office/drawing/2014/main" id="{434E570F-9294-4C7D-BEBD-0B44739AB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516467</xdr:colOff>
      <xdr:row>29</xdr:row>
      <xdr:rowOff>42334</xdr:rowOff>
    </xdr:from>
    <xdr:to>
      <xdr:col>12</xdr:col>
      <xdr:colOff>338667</xdr:colOff>
      <xdr:row>30</xdr:row>
      <xdr:rowOff>76201</xdr:rowOff>
    </xdr:to>
    <xdr:sp macro="" textlink="">
      <xdr:nvSpPr>
        <xdr:cNvPr id="37" name="TextBox 36">
          <a:extLst>
            <a:ext uri="{FF2B5EF4-FFF2-40B4-BE49-F238E27FC236}">
              <a16:creationId xmlns:a16="http://schemas.microsoft.com/office/drawing/2014/main" id="{0F0DF6E7-1D13-B7DC-8820-A47A51343E66}"/>
            </a:ext>
          </a:extLst>
        </xdr:cNvPr>
        <xdr:cNvSpPr txBox="1"/>
      </xdr:nvSpPr>
      <xdr:spPr>
        <a:xfrm>
          <a:off x="4174067" y="5444067"/>
          <a:ext cx="3479800"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a:t>
          </a:r>
          <a:r>
            <a:rPr lang="en-IN" sz="1200" b="1" baseline="0"/>
            <a:t> of Patients by Age Group</a:t>
          </a:r>
          <a:endParaRPr lang="en-IN" sz="1200" b="1"/>
        </a:p>
      </xdr:txBody>
    </xdr:sp>
    <xdr:clientData/>
  </xdr:twoCellAnchor>
  <xdr:twoCellAnchor>
    <xdr:from>
      <xdr:col>20</xdr:col>
      <xdr:colOff>296332</xdr:colOff>
      <xdr:row>0</xdr:row>
      <xdr:rowOff>135466</xdr:rowOff>
    </xdr:from>
    <xdr:to>
      <xdr:col>25</xdr:col>
      <xdr:colOff>194733</xdr:colOff>
      <xdr:row>14</xdr:row>
      <xdr:rowOff>84667</xdr:rowOff>
    </xdr:to>
    <xdr:graphicFrame macro="">
      <xdr:nvGraphicFramePr>
        <xdr:cNvPr id="40" name="Chart 39">
          <a:extLst>
            <a:ext uri="{FF2B5EF4-FFF2-40B4-BE49-F238E27FC236}">
              <a16:creationId xmlns:a16="http://schemas.microsoft.com/office/drawing/2014/main" id="{354CDFBF-E113-450B-9A6D-5782D4472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389467</xdr:colOff>
      <xdr:row>15</xdr:row>
      <xdr:rowOff>84666</xdr:rowOff>
    </xdr:from>
    <xdr:to>
      <xdr:col>25</xdr:col>
      <xdr:colOff>347133</xdr:colOff>
      <xdr:row>29</xdr:row>
      <xdr:rowOff>143933</xdr:rowOff>
    </xdr:to>
    <xdr:graphicFrame macro="">
      <xdr:nvGraphicFramePr>
        <xdr:cNvPr id="41" name="Chart 40">
          <a:extLst>
            <a:ext uri="{FF2B5EF4-FFF2-40B4-BE49-F238E27FC236}">
              <a16:creationId xmlns:a16="http://schemas.microsoft.com/office/drawing/2014/main" id="{F6E78D5F-209F-4663-BCA4-CA892BDA2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584199</xdr:colOff>
      <xdr:row>29</xdr:row>
      <xdr:rowOff>135468</xdr:rowOff>
    </xdr:from>
    <xdr:to>
      <xdr:col>23</xdr:col>
      <xdr:colOff>152399</xdr:colOff>
      <xdr:row>31</xdr:row>
      <xdr:rowOff>93134</xdr:rowOff>
    </xdr:to>
    <xdr:sp macro="" textlink="">
      <xdr:nvSpPr>
        <xdr:cNvPr id="42" name="TextBox 41">
          <a:extLst>
            <a:ext uri="{FF2B5EF4-FFF2-40B4-BE49-F238E27FC236}">
              <a16:creationId xmlns:a16="http://schemas.microsoft.com/office/drawing/2014/main" id="{E31BF2C6-9450-5857-57D9-21F6DC4746A5}"/>
            </a:ext>
          </a:extLst>
        </xdr:cNvPr>
        <xdr:cNvSpPr txBox="1"/>
      </xdr:nvSpPr>
      <xdr:spPr>
        <a:xfrm>
          <a:off x="11556999" y="5537201"/>
          <a:ext cx="261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No. of Patient by Department Referral</a:t>
          </a:r>
        </a:p>
      </xdr:txBody>
    </xdr:sp>
    <xdr:clientData/>
  </xdr:twoCellAnchor>
  <xdr:twoCellAnchor editAs="oneCell">
    <xdr:from>
      <xdr:col>9</xdr:col>
      <xdr:colOff>588433</xdr:colOff>
      <xdr:row>1</xdr:row>
      <xdr:rowOff>84667</xdr:rowOff>
    </xdr:from>
    <xdr:to>
      <xdr:col>14</xdr:col>
      <xdr:colOff>558800</xdr:colOff>
      <xdr:row>5</xdr:row>
      <xdr:rowOff>76201</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6935576E-9E06-4749-BC39-71927B8EF0A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074833" y="270934"/>
              <a:ext cx="3018367" cy="73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203200</xdr:colOff>
      <xdr:row>6</xdr:row>
      <xdr:rowOff>135466</xdr:rowOff>
    </xdr:from>
    <xdr:to>
      <xdr:col>6</xdr:col>
      <xdr:colOff>93133</xdr:colOff>
      <xdr:row>9</xdr:row>
      <xdr:rowOff>76199</xdr:rowOff>
    </xdr:to>
    <xdr:pic>
      <xdr:nvPicPr>
        <xdr:cNvPr id="45" name="Graphic 44" descr="Male profile">
          <a:extLst>
            <a:ext uri="{FF2B5EF4-FFF2-40B4-BE49-F238E27FC236}">
              <a16:creationId xmlns:a16="http://schemas.microsoft.com/office/drawing/2014/main" id="{10894562-E7EE-268D-415A-AA89DA3FDDF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51200" y="1253066"/>
          <a:ext cx="499533" cy="499533"/>
        </a:xfrm>
        <a:prstGeom prst="rect">
          <a:avLst/>
        </a:prstGeom>
      </xdr:spPr>
    </xdr:pic>
    <xdr:clientData/>
  </xdr:twoCellAnchor>
  <xdr:twoCellAnchor editAs="oneCell">
    <xdr:from>
      <xdr:col>14</xdr:col>
      <xdr:colOff>279401</xdr:colOff>
      <xdr:row>7</xdr:row>
      <xdr:rowOff>67733</xdr:rowOff>
    </xdr:from>
    <xdr:to>
      <xdr:col>15</xdr:col>
      <xdr:colOff>16933</xdr:colOff>
      <xdr:row>9</xdr:row>
      <xdr:rowOff>42332</xdr:rowOff>
    </xdr:to>
    <xdr:pic>
      <xdr:nvPicPr>
        <xdr:cNvPr id="47" name="Graphic 46" descr="Hourglass">
          <a:extLst>
            <a:ext uri="{FF2B5EF4-FFF2-40B4-BE49-F238E27FC236}">
              <a16:creationId xmlns:a16="http://schemas.microsoft.com/office/drawing/2014/main" id="{EC3FFF73-9EB5-97D1-9F87-21F86A4C6CD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813801" y="1371600"/>
          <a:ext cx="347132" cy="347132"/>
        </a:xfrm>
        <a:prstGeom prst="rect">
          <a:avLst/>
        </a:prstGeom>
      </xdr:spPr>
    </xdr:pic>
    <xdr:clientData/>
  </xdr:twoCellAnchor>
  <xdr:twoCellAnchor editAs="oneCell">
    <xdr:from>
      <xdr:col>9</xdr:col>
      <xdr:colOff>533400</xdr:colOff>
      <xdr:row>7</xdr:row>
      <xdr:rowOff>33866</xdr:rowOff>
    </xdr:from>
    <xdr:to>
      <xdr:col>10</xdr:col>
      <xdr:colOff>262466</xdr:colOff>
      <xdr:row>8</xdr:row>
      <xdr:rowOff>186266</xdr:rowOff>
    </xdr:to>
    <xdr:pic>
      <xdr:nvPicPr>
        <xdr:cNvPr id="49" name="Graphic 48" descr="Star">
          <a:extLst>
            <a:ext uri="{FF2B5EF4-FFF2-40B4-BE49-F238E27FC236}">
              <a16:creationId xmlns:a16="http://schemas.microsoft.com/office/drawing/2014/main" id="{9874D7FD-17D8-9F0F-A84E-467C0B74FC6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019800" y="1337733"/>
          <a:ext cx="338666" cy="338666"/>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0.12275</cdr:x>
      <cdr:y>0.86622</cdr:y>
    </cdr:from>
    <cdr:to>
      <cdr:x>0.83234</cdr:x>
      <cdr:y>0.94314</cdr:y>
    </cdr:to>
    <cdr:sp macro="" textlink="">
      <cdr:nvSpPr>
        <cdr:cNvPr id="2" name="TextBox 1">
          <a:extLst xmlns:a="http://schemas.openxmlformats.org/drawingml/2006/main">
            <a:ext uri="{FF2B5EF4-FFF2-40B4-BE49-F238E27FC236}">
              <a16:creationId xmlns:a16="http://schemas.microsoft.com/office/drawing/2014/main" id="{FD64E7D5-341C-988A-C99D-45263067F008}"/>
            </a:ext>
          </a:extLst>
        </cdr:cNvPr>
        <cdr:cNvSpPr txBox="1"/>
      </cdr:nvSpPr>
      <cdr:spPr>
        <a:xfrm xmlns:a="http://schemas.openxmlformats.org/drawingml/2006/main">
          <a:off x="347132" y="2192866"/>
          <a:ext cx="2006600" cy="1947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0.08084</cdr:x>
      <cdr:y>0.87625</cdr:y>
    </cdr:from>
    <cdr:to>
      <cdr:x>0.91617</cdr:x>
      <cdr:y>0.96656</cdr:y>
    </cdr:to>
    <cdr:sp macro="" textlink="">
      <cdr:nvSpPr>
        <cdr:cNvPr id="3" name="TextBox 2">
          <a:extLst xmlns:a="http://schemas.openxmlformats.org/drawingml/2006/main">
            <a:ext uri="{FF2B5EF4-FFF2-40B4-BE49-F238E27FC236}">
              <a16:creationId xmlns:a16="http://schemas.microsoft.com/office/drawing/2014/main" id="{FAF5359D-4706-24E1-FDDD-86EFA0C3B70F}"/>
            </a:ext>
          </a:extLst>
        </cdr:cNvPr>
        <cdr:cNvSpPr txBox="1"/>
      </cdr:nvSpPr>
      <cdr:spPr>
        <a:xfrm xmlns:a="http://schemas.openxmlformats.org/drawingml/2006/main">
          <a:off x="228599" y="2218267"/>
          <a:ext cx="236220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0.22455</cdr:x>
      <cdr:y>0.85953</cdr:y>
    </cdr:from>
    <cdr:to>
      <cdr:x>0.85928</cdr:x>
      <cdr:y>0.94649</cdr:y>
    </cdr:to>
    <cdr:sp macro="" textlink="">
      <cdr:nvSpPr>
        <cdr:cNvPr id="4" name="TextBox 3">
          <a:extLst xmlns:a="http://schemas.openxmlformats.org/drawingml/2006/main">
            <a:ext uri="{FF2B5EF4-FFF2-40B4-BE49-F238E27FC236}">
              <a16:creationId xmlns:a16="http://schemas.microsoft.com/office/drawing/2014/main" id="{15F78853-9704-EA32-1BF1-BE29AD981F93}"/>
            </a:ext>
          </a:extLst>
        </cdr:cNvPr>
        <cdr:cNvSpPr txBox="1"/>
      </cdr:nvSpPr>
      <cdr:spPr>
        <a:xfrm xmlns:a="http://schemas.openxmlformats.org/drawingml/2006/main">
          <a:off x="634999" y="2175933"/>
          <a:ext cx="1794933" cy="2201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Patient Attend</a:t>
          </a:r>
          <a:r>
            <a:rPr lang="en-IN" sz="1400" b="1" kern="1200" baseline="0"/>
            <a:t> Status</a:t>
          </a:r>
          <a:endParaRPr lang="en-IN" sz="14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0.08908</cdr:x>
      <cdr:y>0.82724</cdr:y>
    </cdr:from>
    <cdr:to>
      <cdr:x>0.8592</cdr:x>
      <cdr:y>0.93023</cdr:y>
    </cdr:to>
    <cdr:sp macro="" textlink="">
      <cdr:nvSpPr>
        <cdr:cNvPr id="2" name="TextBox 1">
          <a:extLst xmlns:a="http://schemas.openxmlformats.org/drawingml/2006/main">
            <a:ext uri="{FF2B5EF4-FFF2-40B4-BE49-F238E27FC236}">
              <a16:creationId xmlns:a16="http://schemas.microsoft.com/office/drawing/2014/main" id="{C8B00CA0-A5FC-7799-AC31-CEC8DCCD6A7E}"/>
            </a:ext>
          </a:extLst>
        </cdr:cNvPr>
        <cdr:cNvSpPr txBox="1"/>
      </cdr:nvSpPr>
      <cdr:spPr>
        <a:xfrm xmlns:a="http://schemas.openxmlformats.org/drawingml/2006/main">
          <a:off x="262468" y="2108202"/>
          <a:ext cx="2269066" cy="2624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t>No. patients By Gender</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205740</xdr:colOff>
      <xdr:row>1</xdr:row>
      <xdr:rowOff>30480</xdr:rowOff>
    </xdr:from>
    <xdr:to>
      <xdr:col>16</xdr:col>
      <xdr:colOff>358140</xdr:colOff>
      <xdr:row>23</xdr:row>
      <xdr:rowOff>106680</xdr:rowOff>
    </xdr:to>
    <xdr:graphicFrame macro="">
      <xdr:nvGraphicFramePr>
        <xdr:cNvPr id="2" name="Chart 1">
          <a:extLst>
            <a:ext uri="{FF2B5EF4-FFF2-40B4-BE49-F238E27FC236}">
              <a16:creationId xmlns:a16="http://schemas.microsoft.com/office/drawing/2014/main" id="{05046324-0C02-4B33-A8B3-B7E0E8276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0.00385</cdr:x>
      <cdr:y>0</cdr:y>
    </cdr:from>
    <cdr:to>
      <cdr:x>0.04615</cdr:x>
      <cdr:y>0.10223</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AF408C7-4DEB-FB2F-CDD9-EC18B3A2C7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100" y="0"/>
          <a:ext cx="419100" cy="41910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1</xdr:col>
      <xdr:colOff>0</xdr:colOff>
      <xdr:row>4</xdr:row>
      <xdr:rowOff>0</xdr:rowOff>
    </xdr:from>
    <xdr:to>
      <xdr:col>18</xdr:col>
      <xdr:colOff>30480</xdr:colOff>
      <xdr:row>21</xdr:row>
      <xdr:rowOff>137160</xdr:rowOff>
    </xdr:to>
    <xdr:graphicFrame macro="">
      <xdr:nvGraphicFramePr>
        <xdr:cNvPr id="2" name="Chart 1">
          <a:extLst>
            <a:ext uri="{FF2B5EF4-FFF2-40B4-BE49-F238E27FC236}">
              <a16:creationId xmlns:a16="http://schemas.microsoft.com/office/drawing/2014/main" id="{A459D5B1-9B38-44D6-94F5-77C4042CA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7620</xdr:rowOff>
    </xdr:from>
    <xdr:to>
      <xdr:col>1</xdr:col>
      <xdr:colOff>464820</xdr:colOff>
      <xdr:row>6</xdr:row>
      <xdr:rowOff>106680</xdr:rowOff>
    </xdr:to>
    <xdr:pic>
      <xdr:nvPicPr>
        <xdr:cNvPr id="4" name="Graphic 3" descr="Home">
          <a:hlinkClick xmlns:r="http://schemas.openxmlformats.org/officeDocument/2006/relationships" r:id="rId2"/>
          <a:extLst>
            <a:ext uri="{FF2B5EF4-FFF2-40B4-BE49-F238E27FC236}">
              <a16:creationId xmlns:a16="http://schemas.microsoft.com/office/drawing/2014/main" id="{8823C28F-CBD2-44B0-17F8-C5C0918CAD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739140"/>
          <a:ext cx="464820" cy="4648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462963" createdVersion="5" refreshedVersion="8" minRefreshableVersion="3" recordCount="0" supportSubquery="1" supportAdvancedDrill="1" xr:uid="{C71EB96B-B5CE-4F4D-AC8C-0CE2D204413A}">
  <cacheSource type="external" connectionId="3"/>
  <cacheFields count="5">
    <cacheField name="[Calendar_Table].[Date (Month)].[Date (Month)]" caption="Date (Month)" numFmtId="0" hierarchy="1" level="1">
      <sharedItems count="1">
        <s v="Jan"/>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4745369" createdVersion="5" refreshedVersion="8" minRefreshableVersion="3" recordCount="0" supportSubquery="1" supportAdvancedDrill="1" xr:uid="{E818C6DB-4B7B-45C9-8039-C5DCBE5100DB}">
  <cacheSource type="external" connectionId="3"/>
  <cacheFields count="3">
    <cacheField name="[Measures].[Average of Patient Satisfaction Score]" caption="Average of Patient Satisfaction Scor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5324077" createdVersion="5" refreshedVersion="8" minRefreshableVersion="3" recordCount="0" supportSubquery="1" supportAdvancedDrill="1" xr:uid="{F2B9DF7B-3872-4906-9CAD-741E46FC578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5787039" createdVersion="5" refreshedVersion="8" minRefreshableVersion="3" recordCount="0" supportSubquery="1" supportAdvancedDrill="1" xr:uid="{14A8A06F-77E1-4013-82F5-27D2BCEA291A}">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6134262" createdVersion="5" refreshedVersion="8" minRefreshableVersion="3" recordCount="0" supportSubquery="1" supportAdvancedDrill="1" xr:uid="{BD645815-3760-4710-8DC0-D3DADF964806}">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6365739" createdVersion="5" refreshedVersion="8" minRefreshableVersion="3" recordCount="0" supportSubquery="1" supportAdvancedDrill="1" xr:uid="{C804B0E1-BC53-4169-93E0-AA929FFB5F0E}">
  <cacheSource type="external" connectionId="3"/>
  <cacheFields count="3">
    <cacheField name="[Measures].[Count of Patient Admission Date.1]" caption="Count of Patient Admission Date.1"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6597224" createdVersion="5" refreshedVersion="8" minRefreshableVersion="3" recordCount="0" supportSubquery="1" supportAdvancedDrill="1" xr:uid="{513DEBA5-91B6-4E15-9BD8-62C385076394}">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7060186" createdVersion="5" refreshedVersion="8" minRefreshableVersion="3" recordCount="0" supportSubquery="1" supportAdvancedDrill="1" xr:uid="{03E07969-FE62-49B5-8A84-6D0E7C4E859A}">
  <cacheSource type="external" connectionId="3"/>
  <cacheFields count="4">
    <cacheField name="[Calendar_Table].[Date (Day)].[Date (Day)]" caption="Date (Day)" numFmtId="0" hierarchy="2" level="1">
      <sharedItems count="32">
        <s v="1-Nov"/>
        <s v="2-Nov"/>
        <s v="3-Nov"/>
        <s v="4-Nov"/>
        <s v="5-Nov"/>
        <s v="6-Nov"/>
        <s v="7-Nov"/>
        <s v="8-Nov"/>
        <s v="9-Nov"/>
        <s v="10-Nov"/>
        <s v="11-Nov"/>
        <s v="12-Nov"/>
        <s v="13-Nov"/>
        <s v="14-Nov"/>
        <s v="15-Nov"/>
        <s v="16-Nov"/>
        <s v="17-Nov"/>
        <s v="18-Nov"/>
        <s v="19-Nov"/>
        <s v="20-Nov"/>
        <s v="21-Nov"/>
        <s v="22-Nov"/>
        <s v="23-Nov"/>
        <s v="24-Nov"/>
        <s v="25-Nov"/>
        <s v="26-Nov"/>
        <s v="27-Nov"/>
        <s v="28-Nov"/>
        <s v="29-Nov"/>
        <s v="30-Nov"/>
        <s v="1-Jan" u="1"/>
        <s v="31-Jan" u="1"/>
      </sharedItems>
    </cacheField>
    <cacheField name="[Measures].[Distinct Count of Patient Id]" caption="Distinct Count of Patient Id"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7523148" createdVersion="5" refreshedVersion="8" minRefreshableVersion="3" recordCount="0" supportSubquery="1" supportAdvancedDrill="1" xr:uid="{8E441E4A-09E2-4194-8076-33736FC7B429}">
  <cacheSource type="external" connectionId="3"/>
  <cacheFields count="4">
    <cacheField name="[Calendar_Table].[Date (Day)].[Date (Day)]" caption="Date (Day)" numFmtId="0" hierarchy="2" level="1">
      <sharedItems count="152">
        <s v="1-Nov"/>
        <s v="2-Nov"/>
        <s v="3-Nov"/>
        <s v="4-Nov"/>
        <s v="5-Nov"/>
        <s v="6-Nov"/>
        <s v="7-Nov"/>
        <s v="8-Nov"/>
        <s v="9-Nov"/>
        <s v="10-Nov"/>
        <s v="11-Nov"/>
        <s v="12-Nov"/>
        <s v="13-Nov"/>
        <s v="14-Nov"/>
        <s v="15-Nov"/>
        <s v="16-Nov"/>
        <s v="17-Nov"/>
        <s v="18-Nov"/>
        <s v="19-Nov"/>
        <s v="20-Nov"/>
        <s v="21-Nov"/>
        <s v="22-Nov"/>
        <s v="23-Nov"/>
        <s v="24-Nov"/>
        <s v="25-Nov"/>
        <s v="26-Nov"/>
        <s v="27-Nov"/>
        <s v="28-Nov"/>
        <s v="29-Nov"/>
        <s v="30-Nov"/>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y" u="1"/>
        <s v="2-May" u="1"/>
        <s v="3-May" u="1"/>
        <s v="4-May" u="1"/>
        <s v="5-May" u="1"/>
        <s v="6-May" u="1"/>
        <s v="7-May" u="1"/>
        <s v="8-May" u="1"/>
        <s v="9-May" u="1"/>
        <s v="10-May" u="1"/>
        <s v="11-May" u="1"/>
        <s v="12-May" u="1"/>
        <s v="13-May" u="1"/>
        <s v="14-May" u="1"/>
        <s v="16-May" u="1"/>
        <s v="17-May" u="1"/>
        <s v="18-May" u="1"/>
        <s v="19-May" u="1"/>
        <s v="20-May" u="1"/>
        <s v="21-May" u="1"/>
        <s v="22-May" u="1"/>
        <s v="23-May" u="1"/>
        <s v="24-May" u="1"/>
        <s v="25-May" u="1"/>
        <s v="26-May" u="1"/>
        <s v="27-May" u="1"/>
        <s v="28-May" u="1"/>
        <s v="29-May" u="1"/>
        <s v="30-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5-May"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5"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8101855" createdVersion="5" refreshedVersion="8" minRefreshableVersion="3" recordCount="0" supportSubquery="1" supportAdvancedDrill="1" xr:uid="{40457C44-CDF3-4757-BEB0-B36C2B9A5551}">
  <cacheSource type="external" connectionId="3"/>
  <cacheFields count="4">
    <cacheField name="[Calendar_Table].[Date (Day)].[Date (Day)]" caption="Date (Day)" numFmtId="0" hierarchy="2" level="1">
      <sharedItems count="61">
        <s v="1-Nov"/>
        <s v="2-Nov"/>
        <s v="3-Nov"/>
        <s v="4-Nov"/>
        <s v="5-Nov"/>
        <s v="6-Nov"/>
        <s v="7-Nov"/>
        <s v="8-Nov"/>
        <s v="9-Nov"/>
        <s v="10-Nov"/>
        <s v="11-Nov"/>
        <s v="12-Nov"/>
        <s v="13-Nov"/>
        <s v="14-Nov"/>
        <s v="15-Nov"/>
        <s v="16-Nov"/>
        <s v="17-Nov"/>
        <s v="18-Nov"/>
        <s v="19-Nov"/>
        <s v="20-Nov"/>
        <s v="21-Nov"/>
        <s v="22-Nov"/>
        <s v="23-Nov"/>
        <s v="24-Nov"/>
        <s v="25-Nov"/>
        <s v="26-Nov"/>
        <s v="27-Nov"/>
        <s v="28-Nov"/>
        <s v="29-Nov"/>
        <s v="30-Nov"/>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8680556" createdVersion="5" refreshedVersion="8" minRefreshableVersion="3" recordCount="0" supportSubquery="1" supportAdvancedDrill="1" xr:uid="{9FC31E3D-BB93-4FAA-82EA-D680B507DCC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93259027779" createdVersion="5" refreshedVersion="8" minRefreshableVersion="3" recordCount="0" supportSubquery="1" supportAdvancedDrill="1" xr:uid="{551B3023-F0BE-4DAF-BAE2-4844BBB047FF}">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 Kumar" refreshedDate="46198.683910185187" createdVersion="3" refreshedVersion="8" minRefreshableVersion="3" recordCount="0" supportSubquery="1" supportAdvancedDrill="1" xr:uid="{457F6280-854A-40F4-B244-839C151A7E1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4126584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F141C-F146-49A2-B973-3AB1531966EC}" name="PivotTable6" cacheId="9" applyNumberFormats="0" applyBorderFormats="0" applyFontFormats="0" applyPatternFormats="0" applyAlignmentFormats="0" applyWidthHeightFormats="1" dataCaption="Values" tag="cdb08fc7-8941-4e5a-b89d-dee69bd6d45c" updatedVersion="8" minRefreshableVersion="3" useAutoFormatting="1" subtotalHiddenItems="1" itemPrintTitles="1" createdVersion="5" indent="0" outline="1" outlineData="1" multipleFieldFilters="0" chartFormat="30">
  <location ref="J6:K37"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4">
    <format dxfId="3">
      <pivotArea collapsedLevelsAreSubtotals="1" fieldPosition="0">
        <references count="1">
          <reference field="0" count="16">
            <x v="45"/>
            <x v="46"/>
            <x v="47"/>
            <x v="48"/>
            <x v="49"/>
            <x v="50"/>
            <x v="51"/>
            <x v="52"/>
            <x v="53"/>
            <x v="54"/>
            <x v="55"/>
            <x v="56"/>
            <x v="57"/>
            <x v="58"/>
            <x v="59"/>
            <x v="60"/>
          </reference>
        </references>
      </pivotArea>
    </format>
    <format dxfId="2">
      <pivotArea grandRow="1" outline="0" collapsedLevelsAreSubtotals="1" fieldPosition="0"/>
    </format>
    <format dxfId="1">
      <pivotArea collapsedLevelsAreSubtotals="1" fieldPosition="0">
        <references count="1">
          <reference field="0" count="15">
            <x v="30"/>
            <x v="31"/>
            <x v="32"/>
            <x v="33"/>
            <x v="34"/>
            <x v="35"/>
            <x v="36"/>
            <x v="37"/>
            <x v="38"/>
            <x v="39"/>
            <x v="40"/>
            <x v="41"/>
            <x v="42"/>
            <x v="43"/>
            <x v="44"/>
          </reference>
        </references>
      </pivotArea>
    </format>
    <format dxfId="0">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caption="Distinct 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6BC90-6809-4D92-9678-5C7380568571}" name="PivotTable11" cacheId="3" applyNumberFormats="0" applyBorderFormats="0" applyFontFormats="0" applyPatternFormats="0" applyAlignmentFormats="0" applyWidthHeightFormats="1" dataCaption="Values" tag="2d6b197e-f8b9-4c6c-b4ef-7e3f10f97d3d" updatedVersion="8" minRefreshableVersion="3" subtotalHiddenItems="1" itemPrintTitles="1" createdVersion="5" indent="0" outline="1" outlineData="1" multipleFieldFilters="0" chartFormat="26">
  <location ref="H66:I6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5">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38470-A00B-47EB-980B-FCCB3CF2351F}" name="PivotTable5" cacheId="8" applyNumberFormats="0" applyBorderFormats="0" applyFontFormats="0" applyPatternFormats="0" applyAlignmentFormats="0" applyWidthHeightFormats="1" dataCaption="Values" tag="cdb08fc7-8941-4e5a-b89d-dee69bd6d45c" updatedVersion="8" minRefreshableVersion="3" useAutoFormatting="1" subtotalHiddenItems="1" itemPrintTitles="1" createdVersion="5" indent="0" outline="1" outlineData="1" multipleFieldFilters="0" chartFormat="27">
  <location ref="G6:H37" firstHeaderRow="1" firstDataRow="1" firstDataCol="1"/>
  <pivotFields count="4">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6">
    <format dxfId="10">
      <pivotArea collapsedLevelsAreSubtotals="1" fieldPosition="0">
        <references count="1">
          <reference field="0" count="16">
            <x v="135"/>
            <x v="136"/>
            <x v="137"/>
            <x v="138"/>
            <x v="139"/>
            <x v="140"/>
            <x v="141"/>
            <x v="142"/>
            <x v="143"/>
            <x v="144"/>
            <x v="145"/>
            <x v="146"/>
            <x v="147"/>
            <x v="148"/>
            <x v="149"/>
            <x v="150"/>
          </reference>
        </references>
      </pivotArea>
    </format>
    <format dxfId="9">
      <pivotArea grandRow="1" outline="0" collapsedLevelsAreSubtotals="1" fieldPosition="0"/>
    </format>
    <format dxfId="8">
      <pivotArea collapsedLevelsAreSubtotals="1" fieldPosition="0">
        <references count="1">
          <reference field="0" count="15">
            <x v="120"/>
            <x v="121"/>
            <x v="122"/>
            <x v="123"/>
            <x v="124"/>
            <x v="125"/>
            <x v="126"/>
            <x v="127"/>
            <x v="128"/>
            <x v="129"/>
            <x v="130"/>
            <x v="131"/>
            <x v="132"/>
            <x v="133"/>
            <x v="134"/>
          </reference>
        </references>
      </pivotArea>
    </format>
    <format dxfId="7">
      <pivotArea collapsedLevelsAreSubtotals="1" fieldPosition="0">
        <references count="1">
          <reference field="0" count="30">
            <x v="61"/>
            <x v="62"/>
            <x v="63"/>
            <x v="64"/>
            <x v="65"/>
            <x v="66"/>
            <x v="67"/>
            <x v="68"/>
            <x v="69"/>
            <x v="70"/>
            <x v="71"/>
            <x v="72"/>
            <x v="73"/>
            <x v="74"/>
            <x v="75"/>
            <x v="76"/>
            <x v="77"/>
            <x v="78"/>
            <x v="79"/>
            <x v="80"/>
            <x v="81"/>
            <x v="82"/>
            <x v="83"/>
            <x v="84"/>
            <x v="85"/>
            <x v="86"/>
            <x v="87"/>
            <x v="88"/>
            <x v="89"/>
            <x v="90"/>
          </reference>
        </references>
      </pivotArea>
    </format>
    <format dxfId="6">
      <pivotArea collapsedLevelsAreSubtotals="1" fieldPosition="0">
        <references count="1">
          <reference field="0" count="30">
            <x v="91"/>
            <x v="92"/>
            <x v="93"/>
            <x v="94"/>
            <x v="95"/>
            <x v="96"/>
            <x v="97"/>
            <x v="98"/>
            <x v="99"/>
            <x v="100"/>
            <x v="101"/>
            <x v="102"/>
            <x v="103"/>
            <x v="104"/>
            <x v="105"/>
            <x v="106"/>
            <x v="107"/>
            <x v="108"/>
            <x v="109"/>
            <x v="110"/>
            <x v="111"/>
            <x v="112"/>
            <x v="113"/>
            <x v="114"/>
            <x v="115"/>
            <x v="116"/>
            <x v="117"/>
            <x v="118"/>
            <x v="119"/>
            <x v="151"/>
          </reference>
        </references>
      </pivotArea>
    </format>
    <format dxfId="5">
      <pivotArea collapsedLevelsAreSubtotals="1" fieldPosition="0">
        <references count="1">
          <reference field="0" count="31">
            <x v="30"/>
            <x v="31"/>
            <x v="32"/>
            <x v="33"/>
            <x v="34"/>
            <x v="35"/>
            <x v="36"/>
            <x v="37"/>
            <x v="38"/>
            <x v="39"/>
            <x v="40"/>
            <x v="41"/>
            <x v="42"/>
            <x v="43"/>
            <x v="44"/>
            <x v="45"/>
            <x v="46"/>
            <x v="47"/>
            <x v="48"/>
            <x v="49"/>
            <x v="50"/>
            <x v="51"/>
            <x v="52"/>
            <x v="53"/>
            <x v="54"/>
            <x v="55"/>
            <x v="56"/>
            <x v="57"/>
            <x v="58"/>
            <x v="59"/>
            <x v="60"/>
          </reference>
        </references>
      </pivotArea>
    </format>
  </formats>
  <chartFormats count="2">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Distinct 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BFF1F-6C00-413F-BC12-417845593BA2}" name="PivotTable4" cacheId="7" applyNumberFormats="0" applyBorderFormats="0" applyFontFormats="0" applyPatternFormats="0" applyAlignmentFormats="0" applyWidthHeightFormats="1" dataCaption="Values" tag="cdb08fc7-8941-4e5a-b89d-dee69bd6d45c" updatedVersion="8" minRefreshableVersion="3" useAutoFormatting="1" subtotalHiddenItems="1" itemPrintTitles="1" createdVersion="5" indent="0" outline="1" outlineData="1" multipleFieldFilters="0" chartFormat="12">
  <location ref="B6:C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31"/>
          </reference>
        </references>
      </pivotArea>
    </chartFormat>
    <chartFormat chart="4" format="4">
      <pivotArea type="data" outline="0" fieldPosition="0">
        <references count="2">
          <reference field="4294967294" count="1" selected="0">
            <x v="0"/>
          </reference>
          <reference field="0" count="1" selected="0">
            <x v="3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42BBD2-99BD-496C-9839-30091F7020F5}" name="PivotTable10" cacheId="2" applyNumberFormats="0" applyBorderFormats="0" applyFontFormats="0" applyPatternFormats="0" applyAlignmentFormats="0" applyWidthHeightFormats="1" dataCaption="Values" tag="2d6b197e-f8b9-4c6c-b4ef-7e3f10f97d3d" updatedVersion="8" minRefreshableVersion="3" subtotalHiddenItems="1" itemPrintTitles="1" createdVersion="5" indent="0" outline="1" outlineData="1" multipleFieldFilters="0" chartFormat="19">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11">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8BD631-A948-4572-AE1C-6CE1D6524AE0}" name="PivotTable2" cacheId="5" applyNumberFormats="0" applyBorderFormats="0" applyFontFormats="0" applyPatternFormats="0" applyAlignmentFormats="0" applyWidthHeightFormats="1" dataCaption="Values" tag="cdb08fc7-8941-4e5a-b89d-dee69bd6d45c"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Admission Date.1" fld="0" subtotal="count" baseField="0" baseItem="0"/>
  </dataField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320AA-FDCF-472B-BD84-EBF2A75FDBBF}" name="PivotTable8" cacheId="11" applyNumberFormats="0" applyBorderFormats="0" applyFontFormats="0" applyPatternFormats="0" applyAlignmentFormats="0" applyWidthHeightFormats="1" dataCaption="Values" tag="2d6b197e-f8b9-4c6c-b4ef-7e3f10f97d3d" updatedVersion="8" minRefreshableVersion="3" subtotalHiddenItems="1" itemPrintTitles="1" createdVersion="5" indent="0" outline="1" outlineData="1" multipleFieldFilters="0" chartFormat="14">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2">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A807D-B039-498A-A694-40B17B7C17B3}" name="PivotTable1" cacheId="1" applyNumberFormats="0" applyBorderFormats="0" applyFontFormats="0" applyPatternFormats="0" applyAlignmentFormats="0" applyWidthHeightFormats="1" dataCaption="Values" tag="2d6b197e-f8b9-4c6c-b4ef-7e3f10f97d3d"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3">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299EF3-3D25-494B-B1BD-DDBBD1AD4660}" name="PivotTable7" cacheId="10" applyNumberFormats="0" applyBorderFormats="0" applyFontFormats="0" applyPatternFormats="0" applyAlignmentFormats="0" applyWidthHeightFormats="1" dataCaption="Values" tag="2d6b197e-f8b9-4c6c-b4ef-7e3f10f97d3d" updatedVersion="8" minRefreshableVersion="3" subtotalHiddenItems="1" itemPrintTitles="1" createdVersion="5" indent="0" outline="1" outlineData="1" multipleFieldFilters="0" chartFormat="7">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5">
      <pivotArea outline="0" collapsedLevelsAreSubtotals="1" fieldPosition="0"/>
    </format>
    <format dxfId="14">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EB0E3B-990C-4CD3-BBBC-98A22A40794F}" name="PivotTable14" cacheId="0" applyNumberFormats="0" applyBorderFormats="0" applyFontFormats="0" applyPatternFormats="0" applyAlignmentFormats="0" applyWidthHeightFormats="1" dataCaption="Values" tag="2d6b197e-f8b9-4c6c-b4ef-7e3f10f97d3d" updatedVersion="8" minRefreshableVersion="3" subtotalHiddenItems="1" rowGrandTotals="0" colGrandTotals="0" itemPrintTitles="1" createdVersion="5" indent="0" outline="1" outlineData="1" multipleFieldFilters="0" chartFormat="32">
  <location ref="H87:H88" firstHeaderRow="1" firstDataRow="1" firstDataCol="1"/>
  <pivotFields count="5">
    <pivotField axis="axisRow" allDrilled="1" subtotalTop="0" showAll="0" dataSourceSort="1" defaultSubtotal="0">
      <items count="1">
        <item x="0" e="0"/>
      </items>
    </pivotField>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1">
    <i>
      <x/>
    </i>
  </rowItems>
  <formats count="1">
    <format dxfId="16">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A2B0EE-B70A-4D64-ADFF-375501CB675C}" name="PivotTable13" cacheId="4" applyNumberFormats="0" applyBorderFormats="0" applyFontFormats="0" applyPatternFormats="0" applyAlignmentFormats="0" applyWidthHeightFormats="1" dataCaption="Values" tag="2d6b197e-f8b9-4c6c-b4ef-7e3f10f97d3d" updatedVersion="8" minRefreshableVersion="3" subtotalHiddenItems="1" itemPrintTitles="1" createdVersion="5" indent="0" outline="1" outlineData="1" multipleFieldFilters="0" chartFormat="32">
  <location ref="H74:I8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8">
        <item x="7"/>
        <item x="6"/>
        <item x="5"/>
        <item x="4"/>
        <item x="3"/>
        <item x="2"/>
        <item x="1"/>
        <item x="0"/>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17">
      <pivotArea outline="0" collapsedLevelsAreSubtotals="1" fieldPosition="0"/>
    </format>
  </formats>
  <chartFormats count="5">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545B48-86DD-4C2C-BA6D-93FE10A53181}" name="PivotTable3" cacheId="6" applyNumberFormats="0" applyBorderFormats="0" applyFontFormats="0" applyPatternFormats="0" applyAlignmentFormats="0" applyWidthHeightFormats="1" dataCaption="Values" tag="80a7397e-2c23-4afd-ac77-788e3d2d3560"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Satisfaction Score"/>
    <pivotHierarchy dragToData="1"/>
    <pivotHierarchy dragToData="1" caption="Distinct Count of Patient Waittime"/>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21D8EB6-0498-4CC7-96F0-6F204AEBB4D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3"/>
    <pivotTable tabId="1" name="PivotTable14"/>
  </pivotTables>
  <data>
    <olap pivotCacheId="41265842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DCD018D-9C86-45C1-BD25-B5E708C4892F}" sourceName="[Calendar_Table].[Date (Year)]">
  <pivotTables>
    <pivotTable tabId="1" name="PivotTable14"/>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s>
  <data>
    <olap pivotCacheId="412658427">
      <levels count="2">
        <level uniqueName="[Calendar_Table].[Date (Year)].[(All)]" sourceCaption="(All)" count="0"/>
        <level uniqueName="[Calendar_Table].[Date (Year)].[Date (Year)]" sourceCaption="Date (Year)" count="2" crossFilter="showItemsWithNoData">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3C69FD5-6D2D-4C1D-AA53-81D99C0E5119}" cache="Slicer_Date__Month" caption="Date (Month)" showCaption="0" level="1" style="my style" rowHeight="324000"/>
  <slicer name="Date (Year)" xr10:uid="{EED709E6-EDC9-47F5-8D1D-9B0BFB90C891}" cache="Slicer_Date__Year" caption="Date (Year)" columnCount="2" showCaption="0" level="1" style="my style"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9921-36CD-4B43-98BD-59466C1B843B}">
  <dimension ref="A4:L88"/>
  <sheetViews>
    <sheetView topLeftCell="F72" workbookViewId="0">
      <selection activeCell="P7" sqref="P7"/>
    </sheetView>
  </sheetViews>
  <sheetFormatPr defaultRowHeight="14.4" x14ac:dyDescent="0.3"/>
  <cols>
    <col min="1" max="1" width="25" bestFit="1" customWidth="1"/>
    <col min="2" max="2" width="12.5546875" bestFit="1" customWidth="1"/>
    <col min="3" max="3" width="23.88671875" bestFit="1" customWidth="1"/>
    <col min="4" max="4" width="7.77734375" customWidth="1"/>
    <col min="5" max="5" width="7.109375" customWidth="1"/>
    <col min="6" max="6" width="5.77734375" customWidth="1"/>
    <col min="7" max="7" width="12.5546875" bestFit="1" customWidth="1"/>
    <col min="8" max="8" width="32.44140625" bestFit="1" customWidth="1"/>
    <col min="9" max="9" width="17" bestFit="1" customWidth="1"/>
    <col min="10" max="10" width="12.5546875" bestFit="1" customWidth="1"/>
    <col min="11" max="11" width="25" bestFit="1" customWidth="1"/>
    <col min="12" max="63" width="10.33203125" bestFit="1" customWidth="1"/>
    <col min="64" max="64" width="10.77734375" bestFit="1" customWidth="1"/>
    <col min="65" max="581" width="10.33203125" bestFit="1" customWidth="1"/>
    <col min="582" max="582" width="10.77734375" bestFit="1" customWidth="1"/>
  </cols>
  <sheetData>
    <row r="4" spans="1:11" x14ac:dyDescent="0.3">
      <c r="A4" t="s">
        <v>1</v>
      </c>
    </row>
    <row r="5" spans="1:11" x14ac:dyDescent="0.3">
      <c r="A5" s="1">
        <v>5.0928571428571425</v>
      </c>
    </row>
    <row r="6" spans="1:11" x14ac:dyDescent="0.3">
      <c r="B6" s="3" t="s">
        <v>5</v>
      </c>
      <c r="C6" t="s">
        <v>36</v>
      </c>
      <c r="G6" s="3" t="s">
        <v>5</v>
      </c>
      <c r="H6" t="s">
        <v>1</v>
      </c>
      <c r="J6" s="3" t="s">
        <v>5</v>
      </c>
      <c r="K6" t="s">
        <v>2</v>
      </c>
    </row>
    <row r="7" spans="1:11" x14ac:dyDescent="0.3">
      <c r="B7" s="4" t="s">
        <v>6</v>
      </c>
      <c r="C7">
        <v>17</v>
      </c>
      <c r="G7" s="4" t="s">
        <v>6</v>
      </c>
      <c r="H7">
        <v>4.666666666666667</v>
      </c>
      <c r="J7" s="4" t="s">
        <v>6</v>
      </c>
      <c r="K7" s="1">
        <v>35.117647058823529</v>
      </c>
    </row>
    <row r="8" spans="1:11" x14ac:dyDescent="0.3">
      <c r="A8" t="s">
        <v>4</v>
      </c>
      <c r="B8" s="4" t="s">
        <v>7</v>
      </c>
      <c r="C8">
        <v>12</v>
      </c>
      <c r="G8" s="4" t="s">
        <v>7</v>
      </c>
      <c r="H8">
        <v>4.666666666666667</v>
      </c>
      <c r="J8" s="4" t="s">
        <v>7</v>
      </c>
      <c r="K8" s="1">
        <v>28.916666666666668</v>
      </c>
    </row>
    <row r="9" spans="1:11" x14ac:dyDescent="0.3">
      <c r="A9">
        <v>464</v>
      </c>
      <c r="B9" s="4" t="s">
        <v>8</v>
      </c>
      <c r="C9">
        <v>14</v>
      </c>
      <c r="G9" s="4" t="s">
        <v>8</v>
      </c>
      <c r="H9">
        <v>5.4</v>
      </c>
      <c r="J9" s="4" t="s">
        <v>8</v>
      </c>
      <c r="K9" s="1">
        <v>34.357142857142854</v>
      </c>
    </row>
    <row r="10" spans="1:11" x14ac:dyDescent="0.3">
      <c r="B10" s="4" t="s">
        <v>9</v>
      </c>
      <c r="C10">
        <v>17</v>
      </c>
      <c r="G10" s="4" t="s">
        <v>9</v>
      </c>
      <c r="H10">
        <v>5.2</v>
      </c>
      <c r="J10" s="4" t="s">
        <v>9</v>
      </c>
      <c r="K10" s="1">
        <v>29.705882352941178</v>
      </c>
    </row>
    <row r="11" spans="1:11" x14ac:dyDescent="0.3">
      <c r="B11" s="4" t="s">
        <v>10</v>
      </c>
      <c r="C11">
        <v>17</v>
      </c>
      <c r="G11" s="4" t="s">
        <v>10</v>
      </c>
      <c r="H11">
        <v>2.4285714285714284</v>
      </c>
      <c r="J11" s="4" t="s">
        <v>10</v>
      </c>
      <c r="K11" s="1">
        <v>33.176470588235297</v>
      </c>
    </row>
    <row r="12" spans="1:11" x14ac:dyDescent="0.3">
      <c r="A12" t="s">
        <v>2</v>
      </c>
      <c r="B12" s="4" t="s">
        <v>11</v>
      </c>
      <c r="C12">
        <v>16</v>
      </c>
      <c r="G12" s="4" t="s">
        <v>11</v>
      </c>
      <c r="H12">
        <v>4.8</v>
      </c>
      <c r="J12" s="4" t="s">
        <v>11</v>
      </c>
      <c r="K12" s="1">
        <v>39.8125</v>
      </c>
    </row>
    <row r="13" spans="1:11" x14ac:dyDescent="0.3">
      <c r="A13" s="1">
        <v>35.185344827586206</v>
      </c>
      <c r="B13" s="4" t="s">
        <v>12</v>
      </c>
      <c r="C13">
        <v>19</v>
      </c>
      <c r="G13" s="4" t="s">
        <v>12</v>
      </c>
      <c r="H13">
        <v>6.5714285714285712</v>
      </c>
      <c r="J13" s="4" t="s">
        <v>12</v>
      </c>
      <c r="K13" s="1">
        <v>36.578947368421055</v>
      </c>
    </row>
    <row r="14" spans="1:11" x14ac:dyDescent="0.3">
      <c r="B14" s="4" t="s">
        <v>13</v>
      </c>
      <c r="C14">
        <v>14</v>
      </c>
      <c r="G14" s="4" t="s">
        <v>13</v>
      </c>
      <c r="H14">
        <v>3</v>
      </c>
      <c r="J14" s="4" t="s">
        <v>13</v>
      </c>
      <c r="K14" s="1">
        <v>34.5</v>
      </c>
    </row>
    <row r="15" spans="1:11" x14ac:dyDescent="0.3">
      <c r="B15" s="4" t="s">
        <v>14</v>
      </c>
      <c r="C15">
        <v>17</v>
      </c>
      <c r="G15" s="4" t="s">
        <v>14</v>
      </c>
      <c r="H15">
        <v>4.5999999999999996</v>
      </c>
      <c r="J15" s="4" t="s">
        <v>14</v>
      </c>
      <c r="K15" s="1">
        <v>39.764705882352942</v>
      </c>
    </row>
    <row r="16" spans="1:11" x14ac:dyDescent="0.3">
      <c r="B16" s="4" t="s">
        <v>15</v>
      </c>
      <c r="C16">
        <v>13</v>
      </c>
      <c r="G16" s="4" t="s">
        <v>15</v>
      </c>
      <c r="H16">
        <v>3.875</v>
      </c>
      <c r="J16" s="4" t="s">
        <v>15</v>
      </c>
      <c r="K16" s="1">
        <v>35.230769230769234</v>
      </c>
    </row>
    <row r="17" spans="2:11" x14ac:dyDescent="0.3">
      <c r="B17" s="4" t="s">
        <v>16</v>
      </c>
      <c r="C17">
        <v>12</v>
      </c>
      <c r="G17" s="4" t="s">
        <v>16</v>
      </c>
      <c r="H17">
        <v>7.25</v>
      </c>
      <c r="J17" s="4" t="s">
        <v>16</v>
      </c>
      <c r="K17" s="1">
        <v>41.5</v>
      </c>
    </row>
    <row r="18" spans="2:11" x14ac:dyDescent="0.3">
      <c r="B18" s="4" t="s">
        <v>17</v>
      </c>
      <c r="C18">
        <v>16</v>
      </c>
      <c r="G18" s="4" t="s">
        <v>17</v>
      </c>
      <c r="H18">
        <v>3</v>
      </c>
      <c r="J18" s="4" t="s">
        <v>17</v>
      </c>
      <c r="K18" s="1">
        <v>38.0625</v>
      </c>
    </row>
    <row r="19" spans="2:11" x14ac:dyDescent="0.3">
      <c r="B19" s="4" t="s">
        <v>18</v>
      </c>
      <c r="C19">
        <v>9</v>
      </c>
      <c r="G19" s="4" t="s">
        <v>18</v>
      </c>
      <c r="H19">
        <v>8</v>
      </c>
      <c r="J19" s="4" t="s">
        <v>18</v>
      </c>
      <c r="K19" s="1">
        <v>29.222222222222221</v>
      </c>
    </row>
    <row r="20" spans="2:11" x14ac:dyDescent="0.3">
      <c r="B20" s="4" t="s">
        <v>19</v>
      </c>
      <c r="C20">
        <v>17</v>
      </c>
      <c r="G20" s="4" t="s">
        <v>19</v>
      </c>
      <c r="H20">
        <v>6</v>
      </c>
      <c r="J20" s="4" t="s">
        <v>19</v>
      </c>
      <c r="K20" s="1">
        <v>31</v>
      </c>
    </row>
    <row r="21" spans="2:11" x14ac:dyDescent="0.3">
      <c r="B21" s="4" t="s">
        <v>20</v>
      </c>
      <c r="C21">
        <v>16</v>
      </c>
      <c r="G21" s="4" t="s">
        <v>20</v>
      </c>
      <c r="H21">
        <v>3.6666666666666665</v>
      </c>
      <c r="J21" s="4" t="s">
        <v>20</v>
      </c>
      <c r="K21" s="1">
        <v>37.3125</v>
      </c>
    </row>
    <row r="22" spans="2:11" x14ac:dyDescent="0.3">
      <c r="B22" s="4" t="s">
        <v>21</v>
      </c>
      <c r="C22">
        <v>17</v>
      </c>
      <c r="G22" s="4" t="s">
        <v>21</v>
      </c>
      <c r="H22">
        <v>5.333333333333333</v>
      </c>
      <c r="J22" s="4" t="s">
        <v>21</v>
      </c>
      <c r="K22" s="1">
        <v>35.647058823529413</v>
      </c>
    </row>
    <row r="23" spans="2:11" x14ac:dyDescent="0.3">
      <c r="B23" s="4" t="s">
        <v>22</v>
      </c>
      <c r="C23">
        <v>21</v>
      </c>
      <c r="G23" s="4" t="s">
        <v>22</v>
      </c>
      <c r="H23">
        <v>6.1111111111111107</v>
      </c>
      <c r="J23" s="4" t="s">
        <v>22</v>
      </c>
      <c r="K23" s="1">
        <v>36.476190476190474</v>
      </c>
    </row>
    <row r="24" spans="2:11" x14ac:dyDescent="0.3">
      <c r="B24" s="4" t="s">
        <v>23</v>
      </c>
      <c r="C24">
        <v>15</v>
      </c>
      <c r="G24" s="4" t="s">
        <v>23</v>
      </c>
      <c r="H24">
        <v>6.5</v>
      </c>
      <c r="J24" s="4" t="s">
        <v>23</v>
      </c>
      <c r="K24" s="1">
        <v>40.799999999999997</v>
      </c>
    </row>
    <row r="25" spans="2:11" x14ac:dyDescent="0.3">
      <c r="B25" s="4" t="s">
        <v>24</v>
      </c>
      <c r="C25">
        <v>22</v>
      </c>
      <c r="G25" s="4" t="s">
        <v>24</v>
      </c>
      <c r="H25">
        <v>5</v>
      </c>
      <c r="J25" s="4" t="s">
        <v>24</v>
      </c>
      <c r="K25" s="1">
        <v>30.318181818181817</v>
      </c>
    </row>
    <row r="26" spans="2:11" x14ac:dyDescent="0.3">
      <c r="B26" s="4" t="s">
        <v>25</v>
      </c>
      <c r="C26">
        <v>14</v>
      </c>
      <c r="G26" s="4" t="s">
        <v>25</v>
      </c>
      <c r="H26">
        <v>5.8</v>
      </c>
      <c r="J26" s="4" t="s">
        <v>25</v>
      </c>
      <c r="K26" s="1">
        <v>35.714285714285715</v>
      </c>
    </row>
    <row r="27" spans="2:11" x14ac:dyDescent="0.3">
      <c r="B27" s="4" t="s">
        <v>26</v>
      </c>
      <c r="C27">
        <v>13</v>
      </c>
      <c r="G27" s="4" t="s">
        <v>26</v>
      </c>
      <c r="H27">
        <v>6</v>
      </c>
      <c r="J27" s="4" t="s">
        <v>26</v>
      </c>
      <c r="K27" s="1">
        <v>33.53846153846154</v>
      </c>
    </row>
    <row r="28" spans="2:11" x14ac:dyDescent="0.3">
      <c r="B28" s="4" t="s">
        <v>27</v>
      </c>
      <c r="C28">
        <v>10</v>
      </c>
      <c r="G28" s="4" t="s">
        <v>27</v>
      </c>
      <c r="H28">
        <v>8</v>
      </c>
      <c r="J28" s="4" t="s">
        <v>27</v>
      </c>
      <c r="K28" s="1">
        <v>37.5</v>
      </c>
    </row>
    <row r="29" spans="2:11" x14ac:dyDescent="0.3">
      <c r="B29" s="4" t="s">
        <v>28</v>
      </c>
      <c r="C29">
        <v>17</v>
      </c>
      <c r="G29" s="4" t="s">
        <v>28</v>
      </c>
      <c r="H29">
        <v>7</v>
      </c>
      <c r="J29" s="4" t="s">
        <v>28</v>
      </c>
      <c r="K29" s="1">
        <v>38.058823529411768</v>
      </c>
    </row>
    <row r="30" spans="2:11" x14ac:dyDescent="0.3">
      <c r="B30" s="4" t="s">
        <v>29</v>
      </c>
      <c r="C30">
        <v>17</v>
      </c>
      <c r="G30" s="4" t="s">
        <v>29</v>
      </c>
      <c r="H30">
        <v>3.75</v>
      </c>
      <c r="J30" s="4" t="s">
        <v>29</v>
      </c>
      <c r="K30" s="1">
        <v>28.117647058823529</v>
      </c>
    </row>
    <row r="31" spans="2:11" x14ac:dyDescent="0.3">
      <c r="B31" s="4" t="s">
        <v>30</v>
      </c>
      <c r="C31">
        <v>13</v>
      </c>
      <c r="G31" s="4" t="s">
        <v>30</v>
      </c>
      <c r="H31">
        <v>1</v>
      </c>
      <c r="J31" s="4" t="s">
        <v>30</v>
      </c>
      <c r="K31" s="1">
        <v>31.846153846153847</v>
      </c>
    </row>
    <row r="32" spans="2:11" x14ac:dyDescent="0.3">
      <c r="B32" s="4" t="s">
        <v>31</v>
      </c>
      <c r="C32">
        <v>11</v>
      </c>
      <c r="G32" s="4" t="s">
        <v>31</v>
      </c>
      <c r="H32">
        <v>9</v>
      </c>
      <c r="J32" s="4" t="s">
        <v>31</v>
      </c>
      <c r="K32" s="1">
        <v>43.636363636363633</v>
      </c>
    </row>
    <row r="33" spans="1:12" x14ac:dyDescent="0.3">
      <c r="B33" s="4" t="s">
        <v>32</v>
      </c>
      <c r="C33">
        <v>19</v>
      </c>
      <c r="G33" s="4" t="s">
        <v>32</v>
      </c>
      <c r="H33">
        <v>5.8</v>
      </c>
      <c r="J33" s="4" t="s">
        <v>32</v>
      </c>
      <c r="K33" s="1">
        <v>38.842105263157897</v>
      </c>
    </row>
    <row r="34" spans="1:12" x14ac:dyDescent="0.3">
      <c r="B34" s="4" t="s">
        <v>33</v>
      </c>
      <c r="C34">
        <v>16</v>
      </c>
      <c r="G34" s="4" t="s">
        <v>33</v>
      </c>
      <c r="H34">
        <v>4</v>
      </c>
      <c r="J34" s="4" t="s">
        <v>33</v>
      </c>
      <c r="K34" s="1">
        <v>29.5625</v>
      </c>
    </row>
    <row r="35" spans="1:12" x14ac:dyDescent="0.3">
      <c r="B35" s="4" t="s">
        <v>34</v>
      </c>
      <c r="C35">
        <v>15</v>
      </c>
      <c r="E35" s="7"/>
      <c r="G35" s="4" t="s">
        <v>34</v>
      </c>
      <c r="H35">
        <v>6.4</v>
      </c>
      <c r="J35" s="4" t="s">
        <v>34</v>
      </c>
      <c r="K35" s="1">
        <v>37.466666666666669</v>
      </c>
    </row>
    <row r="36" spans="1:12" x14ac:dyDescent="0.3">
      <c r="B36" s="4" t="s">
        <v>35</v>
      </c>
      <c r="C36">
        <v>18</v>
      </c>
      <c r="G36" s="4" t="s">
        <v>35</v>
      </c>
      <c r="H36">
        <v>5</v>
      </c>
      <c r="J36" s="4" t="s">
        <v>35</v>
      </c>
      <c r="K36" s="1">
        <v>35.277777777777779</v>
      </c>
    </row>
    <row r="37" spans="1:12" x14ac:dyDescent="0.3">
      <c r="B37" s="4" t="s">
        <v>3</v>
      </c>
      <c r="C37">
        <v>464</v>
      </c>
      <c r="G37" s="4" t="s">
        <v>3</v>
      </c>
      <c r="H37" s="1">
        <v>5.0928571428571425</v>
      </c>
      <c r="J37" s="4" t="s">
        <v>3</v>
      </c>
      <c r="K37" s="1">
        <v>35.185344827586206</v>
      </c>
    </row>
    <row r="42" spans="1:12" x14ac:dyDescent="0.3">
      <c r="A42" s="3" t="s">
        <v>5</v>
      </c>
      <c r="B42" t="s">
        <v>37</v>
      </c>
      <c r="C42" t="s">
        <v>40</v>
      </c>
    </row>
    <row r="43" spans="1:12" x14ac:dyDescent="0.3">
      <c r="A43" s="4" t="s">
        <v>38</v>
      </c>
      <c r="B43" s="1">
        <v>231</v>
      </c>
      <c r="C43" s="6">
        <v>0.49784482758620691</v>
      </c>
    </row>
    <row r="44" spans="1:12" x14ac:dyDescent="0.3">
      <c r="A44" s="4" t="s">
        <v>39</v>
      </c>
      <c r="B44" s="1">
        <v>233</v>
      </c>
      <c r="C44" s="6">
        <v>0.50215517241379315</v>
      </c>
    </row>
    <row r="45" spans="1:12" x14ac:dyDescent="0.3">
      <c r="A45" s="4" t="s">
        <v>3</v>
      </c>
      <c r="B45" s="1">
        <v>464</v>
      </c>
      <c r="C45" s="6">
        <v>1</v>
      </c>
    </row>
    <row r="48" spans="1:12" x14ac:dyDescent="0.3">
      <c r="A48" s="11" t="s">
        <v>41</v>
      </c>
      <c r="B48" s="12" t="s">
        <v>42</v>
      </c>
      <c r="C48" s="12" t="s">
        <v>43</v>
      </c>
      <c r="D48" s="8"/>
      <c r="E48" s="8"/>
      <c r="F48" s="13"/>
      <c r="H48" s="11"/>
      <c r="I48" s="12"/>
      <c r="J48" s="12"/>
      <c r="K48" s="8"/>
      <c r="L48" s="8"/>
    </row>
    <row r="49" spans="1:10" x14ac:dyDescent="0.3">
      <c r="A49" s="9" t="str">
        <f>A44</f>
        <v>Not Admitted</v>
      </c>
      <c r="B49" s="9">
        <f>B44</f>
        <v>233</v>
      </c>
      <c r="C49" s="10">
        <f>C44</f>
        <v>0.50215517241379315</v>
      </c>
      <c r="H49" s="9"/>
      <c r="I49" s="9"/>
      <c r="J49" s="10"/>
    </row>
    <row r="50" spans="1:10" x14ac:dyDescent="0.3">
      <c r="A50" s="9" t="str">
        <f>A43</f>
        <v>Admitted</v>
      </c>
      <c r="B50" s="9">
        <f t="shared" ref="B50:C50" si="0">B43</f>
        <v>231</v>
      </c>
      <c r="C50" s="10">
        <f t="shared" si="0"/>
        <v>0.49784482758620691</v>
      </c>
      <c r="H50" s="9"/>
      <c r="I50" s="9"/>
      <c r="J50" s="10"/>
    </row>
    <row r="54" spans="1:10" x14ac:dyDescent="0.3">
      <c r="A54" s="3" t="s">
        <v>5</v>
      </c>
      <c r="B54" t="s">
        <v>52</v>
      </c>
    </row>
    <row r="55" spans="1:10" x14ac:dyDescent="0.3">
      <c r="A55" s="4" t="s">
        <v>44</v>
      </c>
      <c r="B55" s="1">
        <v>56</v>
      </c>
    </row>
    <row r="56" spans="1:10" x14ac:dyDescent="0.3">
      <c r="A56" s="4" t="s">
        <v>45</v>
      </c>
      <c r="B56" s="1">
        <v>72</v>
      </c>
    </row>
    <row r="57" spans="1:10" x14ac:dyDescent="0.3">
      <c r="A57" s="4" t="s">
        <v>46</v>
      </c>
      <c r="B57" s="1">
        <v>49</v>
      </c>
    </row>
    <row r="58" spans="1:10" x14ac:dyDescent="0.3">
      <c r="A58" s="4" t="s">
        <v>47</v>
      </c>
      <c r="B58" s="1">
        <v>61</v>
      </c>
      <c r="H58" s="14" t="s">
        <v>53</v>
      </c>
    </row>
    <row r="59" spans="1:10" x14ac:dyDescent="0.3">
      <c r="A59" s="4" t="s">
        <v>48</v>
      </c>
      <c r="B59" s="1">
        <v>56</v>
      </c>
    </row>
    <row r="60" spans="1:10" x14ac:dyDescent="0.3">
      <c r="A60" s="4" t="s">
        <v>49</v>
      </c>
      <c r="B60" s="1">
        <v>61</v>
      </c>
    </row>
    <row r="61" spans="1:10" x14ac:dyDescent="0.3">
      <c r="A61" s="4" t="s">
        <v>50</v>
      </c>
      <c r="B61" s="1">
        <v>62</v>
      </c>
    </row>
    <row r="62" spans="1:10" x14ac:dyDescent="0.3">
      <c r="A62" s="4" t="s">
        <v>51</v>
      </c>
      <c r="B62" s="1">
        <v>47</v>
      </c>
    </row>
    <row r="63" spans="1:10" x14ac:dyDescent="0.3">
      <c r="A63" s="4" t="s">
        <v>3</v>
      </c>
      <c r="B63" s="1">
        <v>464</v>
      </c>
    </row>
    <row r="66" spans="1:9" x14ac:dyDescent="0.3">
      <c r="A66" s="3" t="s">
        <v>5</v>
      </c>
      <c r="B66" t="s">
        <v>0</v>
      </c>
      <c r="H66" s="3" t="s">
        <v>5</v>
      </c>
      <c r="I66" t="s">
        <v>0</v>
      </c>
    </row>
    <row r="67" spans="1:9" x14ac:dyDescent="0.3">
      <c r="A67" s="4" t="s">
        <v>55</v>
      </c>
      <c r="B67" s="1">
        <v>267</v>
      </c>
      <c r="H67" s="4" t="s">
        <v>56</v>
      </c>
      <c r="I67" s="1">
        <v>227</v>
      </c>
    </row>
    <row r="68" spans="1:9" x14ac:dyDescent="0.3">
      <c r="A68" s="4" t="s">
        <v>54</v>
      </c>
      <c r="B68" s="1">
        <v>197</v>
      </c>
      <c r="H68" s="4" t="s">
        <v>57</v>
      </c>
      <c r="I68" s="1">
        <v>237</v>
      </c>
    </row>
    <row r="69" spans="1:9" x14ac:dyDescent="0.3">
      <c r="A69" s="4" t="s">
        <v>3</v>
      </c>
      <c r="B69" s="1">
        <v>464</v>
      </c>
      <c r="H69" s="4" t="s">
        <v>3</v>
      </c>
      <c r="I69" s="1">
        <v>464</v>
      </c>
    </row>
    <row r="74" spans="1:9" x14ac:dyDescent="0.3">
      <c r="H74" s="3" t="s">
        <v>5</v>
      </c>
      <c r="I74" t="s">
        <v>0</v>
      </c>
    </row>
    <row r="75" spans="1:9" x14ac:dyDescent="0.3">
      <c r="H75" s="4" t="s">
        <v>65</v>
      </c>
      <c r="I75" s="1">
        <v>2</v>
      </c>
    </row>
    <row r="76" spans="1:9" x14ac:dyDescent="0.3">
      <c r="H76" s="4" t="s">
        <v>64</v>
      </c>
      <c r="I76" s="1">
        <v>19</v>
      </c>
    </row>
    <row r="77" spans="1:9" x14ac:dyDescent="0.3">
      <c r="H77" s="4" t="s">
        <v>63</v>
      </c>
      <c r="I77" s="1">
        <v>67</v>
      </c>
    </row>
    <row r="78" spans="1:9" x14ac:dyDescent="0.3">
      <c r="H78" s="4" t="s">
        <v>62</v>
      </c>
      <c r="I78" s="1">
        <v>252</v>
      </c>
    </row>
    <row r="79" spans="1:9" x14ac:dyDescent="0.3">
      <c r="H79" s="4" t="s">
        <v>61</v>
      </c>
      <c r="I79" s="1">
        <v>6</v>
      </c>
    </row>
    <row r="80" spans="1:9" x14ac:dyDescent="0.3">
      <c r="H80" s="4" t="s">
        <v>60</v>
      </c>
      <c r="I80" s="1">
        <v>91</v>
      </c>
    </row>
    <row r="81" spans="8:9" x14ac:dyDescent="0.3">
      <c r="H81" s="4" t="s">
        <v>59</v>
      </c>
      <c r="I81" s="1">
        <v>14</v>
      </c>
    </row>
    <row r="82" spans="8:9" x14ac:dyDescent="0.3">
      <c r="H82" s="4" t="s">
        <v>58</v>
      </c>
      <c r="I82" s="1">
        <v>13</v>
      </c>
    </row>
    <row r="83" spans="8:9" x14ac:dyDescent="0.3">
      <c r="H83" s="4" t="s">
        <v>3</v>
      </c>
      <c r="I83" s="1">
        <v>464</v>
      </c>
    </row>
    <row r="87" spans="8:9" x14ac:dyDescent="0.3">
      <c r="H87" s="3" t="s">
        <v>5</v>
      </c>
    </row>
    <row r="88" spans="8:9" x14ac:dyDescent="0.3">
      <c r="H88" s="4" t="s">
        <v>66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DFA5-0212-4EFE-8293-4B7C8C570E34}">
  <dimension ref="A1:X29"/>
  <sheetViews>
    <sheetView showGridLines="0" zoomScaleNormal="100"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9A8C-606B-4E2D-A2E0-833AB6FFDCA4}">
  <dimension ref="A1:Z34"/>
  <sheetViews>
    <sheetView showGridLines="0" tabSelected="1" zoomScale="90" zoomScaleNormal="90" workbookViewId="0">
      <selection activeCell="P9" sqref="P9"/>
    </sheetView>
  </sheetViews>
  <sheetFormatPr defaultRowHeight="14.4" x14ac:dyDescent="0.3"/>
  <cols>
    <col min="9" max="9" width="8.88671875" customWidth="1"/>
  </cols>
  <sheetData>
    <row r="1" spans="1:26" x14ac:dyDescent="0.3">
      <c r="A1" s="2"/>
      <c r="B1" s="2"/>
      <c r="C1" s="2"/>
      <c r="D1" s="2"/>
      <c r="E1" s="2"/>
      <c r="F1" s="2"/>
      <c r="G1" s="2"/>
      <c r="H1" s="2"/>
      <c r="I1" s="2"/>
      <c r="J1" s="2"/>
      <c r="K1" s="2"/>
      <c r="L1" s="2"/>
      <c r="M1" s="2"/>
      <c r="N1" s="2"/>
      <c r="O1" s="2"/>
      <c r="P1" s="2"/>
      <c r="Q1" s="2"/>
      <c r="R1" s="2"/>
      <c r="S1" s="2"/>
      <c r="T1" s="2"/>
      <c r="U1" s="2"/>
      <c r="V1" s="2"/>
      <c r="W1" s="2"/>
      <c r="X1" s="2"/>
      <c r="Y1" s="2"/>
      <c r="Z1" s="2"/>
    </row>
    <row r="2" spans="1:26" x14ac:dyDescent="0.3">
      <c r="A2" s="2"/>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row r="5" spans="1:26" x14ac:dyDescent="0.3">
      <c r="A5" s="2"/>
      <c r="B5" s="2"/>
      <c r="C5" s="2"/>
      <c r="D5" s="2"/>
      <c r="E5" s="2"/>
      <c r="F5" s="2"/>
      <c r="G5" s="2"/>
      <c r="H5" s="2"/>
      <c r="I5" s="2"/>
      <c r="J5" s="2"/>
      <c r="K5" s="2"/>
      <c r="L5" s="2"/>
      <c r="M5" s="2"/>
      <c r="N5" s="2"/>
      <c r="O5" s="2"/>
      <c r="P5" s="2"/>
      <c r="Q5" s="2"/>
      <c r="R5" s="2"/>
      <c r="S5" s="2"/>
      <c r="T5" s="2"/>
      <c r="U5" s="2"/>
      <c r="V5" s="2"/>
      <c r="W5" s="2"/>
      <c r="X5" s="2"/>
      <c r="Y5" s="2"/>
      <c r="Z5" s="2"/>
    </row>
    <row r="6" spans="1:26" x14ac:dyDescent="0.3">
      <c r="A6" s="2"/>
      <c r="B6" s="2"/>
      <c r="C6" s="2"/>
      <c r="D6" s="2"/>
      <c r="E6" s="2"/>
      <c r="F6" s="2"/>
      <c r="G6" s="2"/>
      <c r="H6" s="2"/>
      <c r="I6" s="2"/>
      <c r="J6" s="2"/>
      <c r="K6" s="2"/>
      <c r="L6" s="2"/>
      <c r="M6" s="2"/>
      <c r="N6" s="2"/>
      <c r="O6" s="2"/>
      <c r="P6" s="2"/>
      <c r="Q6" s="2"/>
      <c r="R6" s="2"/>
      <c r="S6" s="2"/>
      <c r="T6" s="2"/>
      <c r="U6" s="2"/>
      <c r="V6" s="2"/>
      <c r="W6" s="2"/>
      <c r="X6" s="2"/>
      <c r="Y6" s="2"/>
      <c r="Z6" s="2"/>
    </row>
    <row r="7" spans="1:26" x14ac:dyDescent="0.3">
      <c r="A7" s="2"/>
      <c r="B7" s="2"/>
      <c r="C7" s="2"/>
      <c r="D7" s="2"/>
      <c r="E7" s="2"/>
      <c r="F7" s="2"/>
      <c r="G7" s="2"/>
      <c r="H7" s="2"/>
      <c r="I7" s="2"/>
      <c r="J7" s="2"/>
      <c r="K7" s="2"/>
      <c r="L7" s="2"/>
      <c r="M7" s="2"/>
      <c r="N7" s="2"/>
      <c r="O7" s="2"/>
      <c r="P7" s="2"/>
      <c r="Q7" s="2"/>
      <c r="R7" s="2"/>
      <c r="S7" s="2"/>
      <c r="T7" s="2"/>
      <c r="U7" s="2"/>
      <c r="V7" s="2"/>
      <c r="W7" s="2"/>
      <c r="X7" s="2"/>
      <c r="Y7" s="2"/>
      <c r="Z7" s="2"/>
    </row>
    <row r="8" spans="1:26" x14ac:dyDescent="0.3">
      <c r="A8" s="2"/>
      <c r="B8" s="2"/>
      <c r="C8" s="2"/>
      <c r="D8" s="2"/>
      <c r="E8" s="2"/>
      <c r="F8" s="2"/>
      <c r="G8" s="2"/>
      <c r="H8" s="2"/>
      <c r="I8" s="2"/>
      <c r="J8" s="2"/>
      <c r="K8" s="2"/>
      <c r="L8" s="2"/>
      <c r="M8" s="2"/>
      <c r="N8" s="2"/>
      <c r="O8" s="2"/>
      <c r="P8" s="2"/>
      <c r="Q8" s="2"/>
      <c r="R8" s="2"/>
      <c r="S8" s="2"/>
      <c r="T8" s="2"/>
      <c r="U8" s="2"/>
      <c r="V8" s="2"/>
      <c r="W8" s="2"/>
      <c r="X8" s="2"/>
      <c r="Y8" s="2"/>
      <c r="Z8" s="2"/>
    </row>
    <row r="9" spans="1:26" x14ac:dyDescent="0.3">
      <c r="A9" s="2"/>
      <c r="B9" s="2"/>
      <c r="C9" s="2"/>
      <c r="D9" s="2"/>
      <c r="E9" s="2"/>
      <c r="F9" s="2"/>
      <c r="G9" s="2"/>
      <c r="H9" s="2"/>
      <c r="I9" s="2"/>
      <c r="J9" s="2"/>
      <c r="K9" s="2"/>
      <c r="L9" s="2"/>
      <c r="M9" s="2"/>
      <c r="N9" s="2"/>
      <c r="O9" s="2"/>
      <c r="P9" s="2"/>
      <c r="Q9" s="2"/>
      <c r="R9" s="2"/>
      <c r="S9" s="2"/>
      <c r="T9" s="2"/>
      <c r="U9" s="2"/>
      <c r="V9" s="2"/>
      <c r="W9" s="2"/>
      <c r="X9" s="2"/>
      <c r="Y9" s="2"/>
      <c r="Z9" s="2"/>
    </row>
    <row r="10" spans="1:26"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1223-494E-4D3D-8D24-36951298CA87}">
  <dimension ref="A1:U29"/>
  <sheetViews>
    <sheetView showGridLines="0" workbookViewId="0">
      <selection activeCell="R18" sqref="R18"/>
    </sheetView>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51DA-2488-4F61-A840-03B334C4E65B}">
  <dimension ref="A1:V29"/>
  <sheetViews>
    <sheetView showGridLines="0"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418D1BE-1A61-4AC7-BA23-CADA7497CACB}">
  <ds:schemaRefs/>
</ds:datastoreItem>
</file>

<file path=customXml/itemProps2.xml><?xml version="1.0" encoding="utf-8"?>
<ds:datastoreItem xmlns:ds="http://schemas.openxmlformats.org/officeDocument/2006/customXml" ds:itemID="{11B464C4-F232-4660-9F20-9C7CAE4502CB}">
  <ds:schemaRefs/>
</ds:datastoreItem>
</file>

<file path=customXml/itemProps3.xml><?xml version="1.0" encoding="utf-8"?>
<ds:datastoreItem xmlns:ds="http://schemas.openxmlformats.org/officeDocument/2006/customXml" ds:itemID="{B74F7FEC-BB8C-40D7-AFBF-5075217AB2A8}">
  <ds:schemaRefs/>
</ds:datastoreItem>
</file>

<file path=customXml/itemProps4.xml><?xml version="1.0" encoding="utf-8"?>
<ds:datastoreItem xmlns:ds="http://schemas.openxmlformats.org/officeDocument/2006/customXml" ds:itemID="{33129B80-7146-401C-B205-72E933802C24}">
  <ds:schemaRefs/>
</ds:datastoreItem>
</file>

<file path=customXml/itemProps5.xml><?xml version="1.0" encoding="utf-8"?>
<ds:datastoreItem xmlns:ds="http://schemas.openxmlformats.org/officeDocument/2006/customXml" ds:itemID="{59E7DAD0-8AAF-4BD7-A2A3-9C277BD3865D}">
  <ds:schemaRefs/>
</ds:datastoreItem>
</file>

<file path=customXml/itemProps6.xml><?xml version="1.0" encoding="utf-8"?>
<ds:datastoreItem xmlns:ds="http://schemas.openxmlformats.org/officeDocument/2006/customXml" ds:itemID="{F1DA43BD-203B-48B4-840C-9C731D633783}">
  <ds:schemaRefs/>
</ds:datastoreItem>
</file>

<file path=customXml/itemProps7.xml><?xml version="1.0" encoding="utf-8"?>
<ds:datastoreItem xmlns:ds="http://schemas.openxmlformats.org/officeDocument/2006/customXml" ds:itemID="{205CCCFC-1295-423C-9FB0-A25C179E5563}">
  <ds:schemaRefs/>
</ds:datastoreItem>
</file>

<file path=customXml/itemProps8.xml><?xml version="1.0" encoding="utf-8"?>
<ds:datastoreItem xmlns:ds="http://schemas.openxmlformats.org/officeDocument/2006/customXml" ds:itemID="{753E310F-FD2E-4B79-A916-3ACCE24FA698}">
  <ds:schemaRefs/>
</ds:datastoreItem>
</file>

<file path=customXml/itemProps9.xml><?xml version="1.0" encoding="utf-8"?>
<ds:datastoreItem xmlns:ds="http://schemas.openxmlformats.org/officeDocument/2006/customXml" ds:itemID="{B4B4669F-B009-443F-95D2-227939A0B20B}">
  <ds:schemaRefs/>
</ds:datastoreItem>
</file>

<file path=customXml/itemProps10.xml><?xml version="1.0" encoding="utf-8"?>
<ds:datastoreItem xmlns:ds="http://schemas.openxmlformats.org/officeDocument/2006/customXml" ds:itemID="{8E12ED21-AF17-458C-9459-70F8BF80665F}">
  <ds:schemaRefs/>
</ds:datastoreItem>
</file>

<file path=customXml/itemProps11.xml><?xml version="1.0" encoding="utf-8"?>
<ds:datastoreItem xmlns:ds="http://schemas.openxmlformats.org/officeDocument/2006/customXml" ds:itemID="{174CCC28-9E64-44D7-B715-2CDB960210BB}">
  <ds:schemaRefs/>
</ds:datastoreItem>
</file>

<file path=customXml/itemProps12.xml><?xml version="1.0" encoding="utf-8"?>
<ds:datastoreItem xmlns:ds="http://schemas.openxmlformats.org/officeDocument/2006/customXml" ds:itemID="{0D59BEC9-A1D1-468B-A1E8-3FB7D4D97262}">
  <ds:schemaRefs/>
</ds:datastoreItem>
</file>

<file path=customXml/itemProps13.xml><?xml version="1.0" encoding="utf-8"?>
<ds:datastoreItem xmlns:ds="http://schemas.openxmlformats.org/officeDocument/2006/customXml" ds:itemID="{4962EE14-3AF9-4A7C-92C3-8D8D3FC5122E}">
  <ds:schemaRefs/>
</ds:datastoreItem>
</file>

<file path=customXml/itemProps14.xml><?xml version="1.0" encoding="utf-8"?>
<ds:datastoreItem xmlns:ds="http://schemas.openxmlformats.org/officeDocument/2006/customXml" ds:itemID="{AF01F849-215B-4C22-B5C7-4EBAA3C00B92}">
  <ds:schemaRefs/>
</ds:datastoreItem>
</file>

<file path=customXml/itemProps15.xml><?xml version="1.0" encoding="utf-8"?>
<ds:datastoreItem xmlns:ds="http://schemas.openxmlformats.org/officeDocument/2006/customXml" ds:itemID="{73E81604-4E89-41DA-884C-F54E1BAEEC26}">
  <ds:schemaRefs>
    <ds:schemaRef ds:uri="http://schemas.microsoft.com/DataMashup"/>
  </ds:schemaRefs>
</ds:datastoreItem>
</file>

<file path=customXml/itemProps16.xml><?xml version="1.0" encoding="utf-8"?>
<ds:datastoreItem xmlns:ds="http://schemas.openxmlformats.org/officeDocument/2006/customXml" ds:itemID="{E35EA8F8-12E4-4BDD-A899-1F4B9623761A}">
  <ds:schemaRefs/>
</ds:datastoreItem>
</file>

<file path=customXml/itemProps17.xml><?xml version="1.0" encoding="utf-8"?>
<ds:datastoreItem xmlns:ds="http://schemas.openxmlformats.org/officeDocument/2006/customXml" ds:itemID="{763403E2-F5DB-4872-BC42-EF3DF131D2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Daily ER Patients</vt:lpstr>
      <vt:lpstr>Dashboard</vt:lpstr>
      <vt:lpstr>Waittime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 Kumar</dc:creator>
  <cp:lastModifiedBy>Soumy Kumar</cp:lastModifiedBy>
  <dcterms:created xsi:type="dcterms:W3CDTF">2026-06-24T13:31:15Z</dcterms:created>
  <dcterms:modified xsi:type="dcterms:W3CDTF">2026-06-25T11:12:44Z</dcterms:modified>
</cp:coreProperties>
</file>